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610" windowWidth="18880" windowHeight="6490"/>
  </bookViews>
  <sheets>
    <sheet name="FINAL BILL" sheetId="1" r:id="rId1"/>
  </sheets>
  <calcPr calcId="144525"/>
</workbook>
</file>

<file path=xl/calcChain.xml><?xml version="1.0" encoding="utf-8"?>
<calcChain xmlns="http://schemas.openxmlformats.org/spreadsheetml/2006/main">
  <c r="I70" i="1" l="1"/>
  <c r="I31" i="1"/>
  <c r="I21" i="1"/>
  <c r="I23" i="1"/>
  <c r="I29" i="1" l="1"/>
  <c r="I85" i="1"/>
  <c r="I84" i="1"/>
  <c r="I28" i="1" l="1"/>
  <c r="H100" i="1" l="1"/>
  <c r="E100" i="1"/>
  <c r="I99" i="1"/>
  <c r="I94" i="1"/>
  <c r="I93" i="1"/>
  <c r="I82" i="1"/>
  <c r="I81" i="1"/>
  <c r="I79" i="1"/>
  <c r="I78" i="1"/>
  <c r="I77" i="1"/>
  <c r="I76" i="1"/>
  <c r="I75" i="1"/>
  <c r="I74" i="1"/>
  <c r="I73" i="1"/>
  <c r="I72" i="1"/>
  <c r="I68" i="1"/>
  <c r="I67" i="1"/>
  <c r="I65" i="1"/>
  <c r="I63" i="1"/>
  <c r="I62" i="1"/>
  <c r="I60" i="1"/>
  <c r="I59" i="1"/>
  <c r="I57" i="1"/>
  <c r="I56" i="1"/>
  <c r="I55" i="1"/>
  <c r="I53" i="1"/>
  <c r="I52" i="1"/>
  <c r="I51" i="1"/>
  <c r="I49" i="1"/>
  <c r="I48" i="1"/>
  <c r="I47" i="1"/>
  <c r="I46" i="1"/>
  <c r="I45" i="1"/>
  <c r="I43" i="1"/>
  <c r="I42" i="1"/>
  <c r="I41" i="1"/>
  <c r="I40" i="1"/>
  <c r="I39" i="1"/>
  <c r="I38" i="1"/>
  <c r="I37" i="1"/>
  <c r="I36" i="1"/>
  <c r="I35" i="1"/>
  <c r="I33" i="1"/>
  <c r="I32" i="1"/>
  <c r="I27" i="1"/>
  <c r="I26" i="1"/>
  <c r="I25" i="1"/>
  <c r="I24" i="1"/>
  <c r="I22" i="1"/>
  <c r="I20" i="1"/>
  <c r="I100" i="1" l="1"/>
  <c r="I88" i="1"/>
  <c r="I89" i="1" s="1"/>
  <c r="I90" i="1" s="1"/>
</calcChain>
</file>

<file path=xl/sharedStrings.xml><?xml version="1.0" encoding="utf-8"?>
<sst xmlns="http://schemas.openxmlformats.org/spreadsheetml/2006/main" count="204" uniqueCount="135">
  <si>
    <t>M/S I FOUR U ENGINEERING SERVICES</t>
  </si>
  <si>
    <t>Office Address :  House No. 329, New Karmik Nagar, PO ISM, Dhanbad,
Jharkhand, 826004, Ph No. +91 7042220470</t>
  </si>
  <si>
    <t>GSTIN : 20ARNPA8397C1ZX</t>
  </si>
  <si>
    <t xml:space="preserve">INVOICE NUMBER </t>
  </si>
  <si>
    <t>Transportation Mode</t>
  </si>
  <si>
    <t>Work at site</t>
  </si>
  <si>
    <t xml:space="preserve">GSTIN : </t>
  </si>
  <si>
    <r>
      <rPr>
        <b/>
        <sz val="12"/>
        <color rgb="FF1F1F1F"/>
        <rFont val="Bookman Old Style"/>
      </rPr>
      <t>20ARNPA8397C1ZX</t>
    </r>
  </si>
  <si>
    <t>Vehicle No.</t>
  </si>
  <si>
    <t>N/A</t>
  </si>
  <si>
    <t>Tax is payable on reverse charge : (yes /no)</t>
  </si>
  <si>
    <t>Date and Time of supply</t>
  </si>
  <si>
    <t>INVOICE DATE</t>
  </si>
  <si>
    <t>Place of supply</t>
  </si>
  <si>
    <t>Details of Reciever (Billed to)</t>
  </si>
  <si>
    <t>Details of Consignee (Work at Site)</t>
  </si>
  <si>
    <t>Name</t>
  </si>
  <si>
    <t>Cholamandalam Investment And Finance Co. ltd</t>
  </si>
  <si>
    <t>Cholamandalam Investment And Finance Co. ltd.</t>
  </si>
  <si>
    <t>Address</t>
  </si>
  <si>
    <t>State</t>
  </si>
  <si>
    <t>State Code</t>
  </si>
  <si>
    <t>GSTIN NO.</t>
  </si>
  <si>
    <t>S NO.</t>
  </si>
  <si>
    <t>ITEM NAME</t>
  </si>
  <si>
    <t>DESCRIPTION OF THE ITEM</t>
  </si>
  <si>
    <t>SAC</t>
  </si>
  <si>
    <t>GST RATE</t>
  </si>
  <si>
    <t>UNIT</t>
  </si>
  <si>
    <t>Price</t>
  </si>
  <si>
    <t>Quantity</t>
  </si>
  <si>
    <t>Amount</t>
  </si>
  <si>
    <t>I</t>
  </si>
  <si>
    <t>MODULAR FURNITURE</t>
  </si>
  <si>
    <t>WORKSTATIONS – 1200mm x 600mm</t>
  </si>
  <si>
    <t>Nos</t>
  </si>
  <si>
    <t>MANAGER CUBICLE – 1475mm x 1475mm</t>
  </si>
  <si>
    <t>HALF/FULL  HEIGHT PARTITION – MODULAR</t>
  </si>
  <si>
    <t>Sft</t>
  </si>
  <si>
    <t>HALF/FULL HEIGHT STORAGES</t>
  </si>
  <si>
    <t>SUPPLY OF DRAWER MOBILE PEDESTALS</t>
  </si>
  <si>
    <t>Discussion Table -4 seater</t>
  </si>
  <si>
    <t>INTERIOR WORKS</t>
  </si>
  <si>
    <t xml:space="preserve"> SEMI GLAZED Soild WOODEN PARTITION.</t>
  </si>
  <si>
    <t>Cash Counter Partition</t>
  </si>
  <si>
    <t>Single Leaf Wooden door</t>
  </si>
  <si>
    <t>A</t>
  </si>
  <si>
    <t>B</t>
  </si>
  <si>
    <t>Opening size:  900mm x 2250</t>
  </si>
  <si>
    <t>Gypsum False Ceiling</t>
  </si>
  <si>
    <t>Grid Ceiling</t>
  </si>
  <si>
    <t>ACRYLIC EMULSION PAINT</t>
  </si>
  <si>
    <t>COMPLIANCE BOARD</t>
  </si>
  <si>
    <t>WHITE BOARD</t>
  </si>
  <si>
    <t>Supply &amp; Fixing of Roller Blinds</t>
  </si>
  <si>
    <t xml:space="preserve"> PANELLING</t>
  </si>
  <si>
    <t>ELECTRICAL WORKS</t>
  </si>
  <si>
    <t>ELECTRICAL POINTS</t>
  </si>
  <si>
    <t>RAW POINTS POINTS -FOR FANS</t>
  </si>
  <si>
    <t>UPS POWER POINTS</t>
  </si>
  <si>
    <t xml:space="preserve">RAW POWER POINTS </t>
  </si>
  <si>
    <t>AC POWER POINTS</t>
  </si>
  <si>
    <t>ELECTRICAL WIRING FOR RAW,UPS,LIGHTING AND AC CIRCUIT</t>
  </si>
  <si>
    <t>Supply and laying of 2 run 2.5 Sq.mm +1 run 1.5 Sq.mm PVC insulated copper wire(FRLS) with suitable PVC conduit with all necessary accessories.</t>
  </si>
  <si>
    <t>RMT</t>
  </si>
  <si>
    <t>Supply and laying of 2 run 4 Sq.mm +1 run 2.5 Sq.mm PVC insulated copper wire(FRLS) with suitable PVC conduit with all necessary accessories.</t>
  </si>
  <si>
    <t>C</t>
  </si>
  <si>
    <t>Supply , Laying and Commissioning of 3.5 core , 16 sqmm FRLS Main cable</t>
  </si>
  <si>
    <t>UPS – IN AND OUT WIRING</t>
  </si>
  <si>
    <t xml:space="preserve">Supply and laying of 2 run 4 Sq.mm +1 run 1.5 Sq.mm </t>
  </si>
  <si>
    <t>UPS - IN POWER SOCKET and PRINTER POWER SOCKET</t>
  </si>
  <si>
    <t xml:space="preserve">UPS - OUT  POWER SOCKET </t>
  </si>
  <si>
    <t>EARTHING   SYSTEM</t>
  </si>
  <si>
    <t>1 RUN 6 SQMM</t>
  </si>
  <si>
    <t>Mtrs</t>
  </si>
  <si>
    <t>Supply,  Installation,  Testing  and   Commisioning  of   80mm  dia   Ashlok  earth  electrode and chemical</t>
  </si>
  <si>
    <t>8-LIGHT FITTINGS</t>
  </si>
  <si>
    <t>Supply and fixing of the following light fittings  36W  Recessed Mounted LED Luminaire   Make –  Crompton</t>
  </si>
  <si>
    <t>Supply and Fixing T5/28 watt LED</t>
  </si>
  <si>
    <t>9-FANS</t>
  </si>
  <si>
    <t xml:space="preserve">Supply and installation of 300mm dia sweep wall mounted fan . Make –  Crompton </t>
  </si>
  <si>
    <t>DB</t>
  </si>
  <si>
    <t>FOR RAW POWER DB- Havells</t>
  </si>
  <si>
    <t>NETWORKING-Data</t>
  </si>
  <si>
    <t xml:space="preserve">Supplying and Laying CAT-6 - DLink cable </t>
  </si>
  <si>
    <t>Supply and installation of RJ45 Cat-6 information outlets and face plate.</t>
  </si>
  <si>
    <t>Supply of Cat-6 Double ended Factory crimped Patch  Chords for  Data  points ( 7 ft) Rack side.</t>
  </si>
  <si>
    <t>Supply of Cat-6 Double ended Factory crimped Patch  Chords for  Data  points ( 3 ft) Computer side.</t>
  </si>
  <si>
    <t>Supply and installation of Rack   mountable,  Cat-6  24   port  modular  Jack   panels with required terminations( Fully  loaded – Straight)</t>
  </si>
  <si>
    <t>Testing ,documentation, dressing and certification of data,voice and telephone points.</t>
  </si>
  <si>
    <t>Supply and fixing of 9inch  9U  wall mounting open   Rack  Dlink</t>
  </si>
  <si>
    <t>Supply and fixing of   Giga Switch 100/1000 MBPS -Dlink</t>
  </si>
  <si>
    <t>CCTV</t>
  </si>
  <si>
    <t>CAT 6 Cable-CCTV</t>
  </si>
  <si>
    <t>Casing and Caping- CCTV</t>
  </si>
  <si>
    <t>TOTAL</t>
  </si>
  <si>
    <t>IGST 18%</t>
  </si>
  <si>
    <t>GRAND TOTAL</t>
  </si>
  <si>
    <t>HSN/SAC</t>
  </si>
  <si>
    <t>TAX RATE</t>
  </si>
  <si>
    <t>TAXABLE AMOUNT</t>
  </si>
  <si>
    <t>IGST Amt.</t>
  </si>
  <si>
    <t>TOTAL TAX</t>
  </si>
  <si>
    <t>Bank Details</t>
  </si>
  <si>
    <t>Ceritified that the particulars given above are true and correct</t>
  </si>
  <si>
    <t>Bank Name and A/C No. : HDFC BANK , 50200073035859</t>
  </si>
  <si>
    <t>For I FOUR U ENGINEERING SERVICES</t>
  </si>
  <si>
    <t xml:space="preserve">Bank IFSC and Address : HDFC0002679 , Sri Ram City Saraidhela, 828127 </t>
  </si>
  <si>
    <t>Terms and Conditions</t>
  </si>
  <si>
    <t>Common Seal</t>
  </si>
  <si>
    <t>Authorised Signatory</t>
  </si>
  <si>
    <t>Opening size:  1050mm x 2250mm</t>
  </si>
  <si>
    <t>RFT</t>
  </si>
  <si>
    <t>16/CH/FY/25-26</t>
  </si>
  <si>
    <t>9th Floor ,Titanium,Plot No TC/G 1/1 Office No.-901 to 907,Shalimar Corporate Park, Gomti Nagar ,Vibhuti Khand, Lucknow (UP) Pin -226010</t>
  </si>
  <si>
    <t>Uttar Pradesh</t>
  </si>
  <si>
    <t>`09</t>
  </si>
  <si>
    <t>09AAACC1226H1Z2</t>
  </si>
  <si>
    <t>W/0: 26096/12.12.2025</t>
  </si>
  <si>
    <t>First Floor , Sadar Bazar (Town Hall), Near HDFC Bank,Shahjahanpur (UP), Pin- 242001</t>
  </si>
  <si>
    <t>Shahjahanpur, UP -Pin -242001</t>
  </si>
  <si>
    <t>WRKSTATION- 1500mm x 600mm</t>
  </si>
  <si>
    <t>SHARED CUBICLE- 1475mm x 1475mm</t>
  </si>
  <si>
    <t>Meeting Table - 12 seater</t>
  </si>
  <si>
    <t>Running Counter Table</t>
  </si>
  <si>
    <t>Gypsum Parttion</t>
  </si>
  <si>
    <t>Supply and installation of 100 A 4p main ELCB in sheet metal enclosure -Havells</t>
  </si>
  <si>
    <t>Extra</t>
  </si>
  <si>
    <t>Shifting and Reinstallation of Existing Signage</t>
  </si>
  <si>
    <t>25 Amp 4 pole MCB -3 phase for AC</t>
  </si>
  <si>
    <t>EXTRA</t>
  </si>
  <si>
    <t>12 mm toughened glass providing and Fixing in front façade</t>
  </si>
  <si>
    <t xml:space="preserve">Transportation Loading and unlaoding of Modular Furnitures </t>
  </si>
  <si>
    <t>SFT</t>
  </si>
  <si>
    <t>Total- Thirty Lakhs Fifty Four Thousand Four  Hundred Seventy Four Rupees And Sixty Nine  Paisa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</si>
</sst>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yy"/>
  </numFmts>
  <fonts count="70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</font>
    <font>
      <b/>
      <sz val="20"/>
      <color theme="1"/>
      <name val="Bookman Old Style"/>
    </font>
    <font>
      <sz val="10"/>
      <name val="Arial"/>
    </font>
    <font>
      <b/>
      <sz val="13"/>
      <color theme="1"/>
      <name val="Bookman Old Style"/>
    </font>
    <font>
      <b/>
      <sz val="12"/>
      <color theme="1"/>
      <name val="Bookman Old Style"/>
    </font>
    <font>
      <b/>
      <sz val="10"/>
      <color theme="1"/>
      <name val="Bookman Old Style"/>
    </font>
    <font>
      <b/>
      <sz val="11"/>
      <color theme="1"/>
      <name val="Bookman Old Style"/>
    </font>
    <font>
      <b/>
      <sz val="14"/>
      <color theme="1"/>
      <name val="Calibri"/>
    </font>
    <font>
      <b/>
      <sz val="12"/>
      <color rgb="FF0E2841"/>
      <name val="Aptos Narrow"/>
    </font>
    <font>
      <b/>
      <sz val="12"/>
      <color theme="1"/>
      <name val="Calibri"/>
    </font>
    <font>
      <b/>
      <sz val="12"/>
      <color rgb="FF0E2841"/>
      <name val="Arial"/>
    </font>
    <font>
      <b/>
      <sz val="12"/>
      <color theme="1"/>
      <name val="Arial"/>
    </font>
    <font>
      <b/>
      <sz val="11"/>
      <color theme="1"/>
      <name val="Arial"/>
    </font>
    <font>
      <b/>
      <sz val="11"/>
      <color theme="1"/>
      <name val="Aptos Narrow"/>
    </font>
    <font>
      <b/>
      <sz val="11"/>
      <color rgb="FF000000"/>
      <name val="Arial"/>
    </font>
    <font>
      <sz val="11"/>
      <color theme="1"/>
      <name val="Aptos Narrow"/>
    </font>
    <font>
      <sz val="11"/>
      <color rgb="FF000000"/>
      <name val="Arial"/>
    </font>
    <font>
      <sz val="13"/>
      <color theme="1"/>
      <name val="Arial"/>
    </font>
    <font>
      <sz val="13"/>
      <color theme="1"/>
      <name val="Aptos Narrow"/>
    </font>
    <font>
      <sz val="12"/>
      <color theme="1"/>
      <name val="Calibri"/>
    </font>
    <font>
      <sz val="12"/>
      <color theme="1"/>
      <name val="Arial"/>
    </font>
    <font>
      <sz val="12"/>
      <color rgb="FF000000"/>
      <name val="Arial"/>
    </font>
    <font>
      <sz val="10"/>
      <color theme="1"/>
      <name val="Aptos Narrow"/>
    </font>
    <font>
      <b/>
      <sz val="12"/>
      <color theme="1"/>
      <name val="Aptos Narrow"/>
    </font>
    <font>
      <b/>
      <sz val="13"/>
      <color theme="1"/>
      <name val="Aptos Narrow"/>
    </font>
    <font>
      <b/>
      <sz val="10"/>
      <color theme="1"/>
      <name val="Aptos Narrow"/>
    </font>
    <font>
      <sz val="12"/>
      <color theme="1"/>
      <name val="Aptos Narrow"/>
    </font>
    <font>
      <b/>
      <sz val="10"/>
      <color rgb="FF000000"/>
      <name val="Arial"/>
    </font>
    <font>
      <sz val="11"/>
      <color theme="1"/>
      <name val="Arial"/>
    </font>
    <font>
      <b/>
      <sz val="13"/>
      <color theme="1"/>
      <name val="Arial"/>
    </font>
    <font>
      <sz val="12"/>
      <color rgb="FF000000"/>
      <name val="Calibri"/>
    </font>
    <font>
      <b/>
      <sz val="12"/>
      <color rgb="FF000000"/>
      <name val="Arial"/>
    </font>
    <font>
      <b/>
      <sz val="14"/>
      <color theme="1"/>
      <name val="Arial"/>
    </font>
    <font>
      <b/>
      <i/>
      <sz val="11"/>
      <color theme="1"/>
      <name val="Arial"/>
    </font>
    <font>
      <b/>
      <sz val="15"/>
      <color theme="1"/>
      <name val="Arial"/>
    </font>
    <font>
      <sz val="14"/>
      <color theme="1"/>
      <name val="Arial"/>
    </font>
    <font>
      <sz val="9"/>
      <color theme="1"/>
      <name val="Calibri"/>
    </font>
    <font>
      <b/>
      <sz val="15"/>
      <color theme="1"/>
      <name val="Calibri"/>
    </font>
    <font>
      <sz val="10"/>
      <color rgb="FF000000"/>
      <name val="Arial"/>
    </font>
    <font>
      <b/>
      <sz val="12"/>
      <color rgb="FF1F1F1F"/>
      <name val="Bookman Old Style"/>
    </font>
    <font>
      <b/>
      <sz val="14"/>
      <color theme="1"/>
      <name val="Calibri"/>
      <family val="2"/>
    </font>
    <font>
      <sz val="14"/>
      <name val="Arial"/>
      <family val="2"/>
    </font>
    <font>
      <b/>
      <sz val="10"/>
      <color theme="1"/>
      <name val="Bookman Old Style"/>
      <family val="1"/>
    </font>
    <font>
      <sz val="11"/>
      <color theme="1"/>
      <name val="Arial"/>
      <family val="2"/>
    </font>
    <font>
      <b/>
      <i/>
      <sz val="14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Calibri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color indexed="19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8"/>
      <name val="Calibri"/>
      <family val="2"/>
      <charset val="1"/>
    </font>
    <font>
      <sz val="10"/>
      <name val="Mangal"/>
      <family val="2"/>
    </font>
    <font>
      <sz val="10"/>
      <color indexed="8"/>
      <name val="Mangal"/>
      <family val="2"/>
    </font>
    <font>
      <sz val="10"/>
      <color indexed="8"/>
      <name val="Calibri"/>
      <family val="2"/>
    </font>
    <font>
      <sz val="11"/>
      <color rgb="FF000000"/>
      <name val="Arial"/>
      <family val="2"/>
      <charset val="1"/>
    </font>
    <font>
      <sz val="14"/>
      <name val="Calibri"/>
      <family val="2"/>
    </font>
    <font>
      <sz val="12"/>
      <name val="Calibri"/>
      <family val="2"/>
    </font>
    <font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ADB9CA"/>
        <bgColor rgb="FFADB9CA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</fills>
  <borders count="5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26">
    <xf numFmtId="0" fontId="0" fillId="0" borderId="0"/>
    <xf numFmtId="0" fontId="49" fillId="0" borderId="0"/>
    <xf numFmtId="0" fontId="60" fillId="0" borderId="0" applyNumberFormat="0" applyFill="0" applyBorder="0" applyAlignment="0" applyProtection="0"/>
    <xf numFmtId="0" fontId="61" fillId="6" borderId="0" applyNumberFormat="0" applyBorder="0" applyAlignment="0" applyProtection="0"/>
    <xf numFmtId="0" fontId="61" fillId="7" borderId="0" applyNumberFormat="0" applyBorder="0" applyAlignment="0" applyProtection="0"/>
    <xf numFmtId="0" fontId="60" fillId="8" borderId="0" applyNumberFormat="0" applyBorder="0" applyAlignment="0" applyProtection="0"/>
    <xf numFmtId="0" fontId="58" fillId="9" borderId="0" applyNumberFormat="0" applyBorder="0" applyAlignment="0" applyProtection="0"/>
    <xf numFmtId="0" fontId="59" fillId="10" borderId="0" applyNumberFormat="0" applyBorder="0" applyAlignment="0" applyProtection="0"/>
    <xf numFmtId="0" fontId="63" fillId="0" borderId="0"/>
    <xf numFmtId="0" fontId="64" fillId="0" borderId="0"/>
    <xf numFmtId="0" fontId="65" fillId="0" borderId="0"/>
    <xf numFmtId="0" fontId="55" fillId="0" borderId="0" applyNumberFormat="0" applyFill="0" applyBorder="0" applyAlignment="0" applyProtection="0"/>
    <xf numFmtId="0" fontId="56" fillId="11" borderId="0" applyNumberFormat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7" fillId="12" borderId="0" applyNumberFormat="0" applyBorder="0" applyAlignment="0" applyProtection="0"/>
    <xf numFmtId="0" fontId="49" fillId="0" borderId="0"/>
    <xf numFmtId="0" fontId="66" fillId="0" borderId="0"/>
    <xf numFmtId="0" fontId="49" fillId="0" borderId="0"/>
    <xf numFmtId="0" fontId="1" fillId="0" borderId="0"/>
    <xf numFmtId="0" fontId="54" fillId="12" borderId="57" applyNumberFormat="0" applyAlignment="0" applyProtection="0"/>
    <xf numFmtId="0" fontId="49" fillId="0" borderId="0" applyNumberFormat="0" applyFill="0" applyBorder="0" applyAlignment="0" applyProtection="0"/>
    <xf numFmtId="0" fontId="62" fillId="0" borderId="0"/>
    <xf numFmtId="0" fontId="49" fillId="0" borderId="0" applyNumberFormat="0" applyFill="0" applyBorder="0" applyAlignment="0" applyProtection="0"/>
    <xf numFmtId="0" fontId="58" fillId="0" borderId="0" applyNumberFormat="0" applyFill="0" applyBorder="0" applyAlignment="0" applyProtection="0"/>
  </cellStyleXfs>
  <cellXfs count="194">
    <xf numFmtId="0" fontId="0" fillId="0" borderId="0" xfId="0" applyFont="1" applyAlignment="1"/>
    <xf numFmtId="0" fontId="2" fillId="0" borderId="1" xfId="0" applyFont="1" applyBorder="1"/>
    <xf numFmtId="0" fontId="2" fillId="0" borderId="6" xfId="0" applyFont="1" applyBorder="1"/>
    <xf numFmtId="0" fontId="6" fillId="0" borderId="6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5" xfId="0" applyFont="1" applyBorder="1" applyAlignment="1">
      <alignment horizontal="left"/>
    </xf>
    <xf numFmtId="0" fontId="3" fillId="0" borderId="1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9" xfId="0" applyFont="1" applyBorder="1" applyAlignment="1">
      <alignment horizontal="left" vertical="center"/>
    </xf>
    <xf numFmtId="0" fontId="6" fillId="0" borderId="14" xfId="0" applyFont="1" applyBorder="1" applyAlignment="1">
      <alignment horizontal="left"/>
    </xf>
    <xf numFmtId="0" fontId="7" fillId="0" borderId="20" xfId="0" applyFont="1" applyBorder="1" applyAlignment="1">
      <alignment horizontal="center"/>
    </xf>
    <xf numFmtId="164" fontId="6" fillId="0" borderId="21" xfId="0" applyNumberFormat="1" applyFont="1" applyBorder="1" applyAlignment="1">
      <alignment horizontal="left"/>
    </xf>
    <xf numFmtId="0" fontId="2" fillId="0" borderId="21" xfId="0" applyFont="1" applyBorder="1" applyAlignment="1">
      <alignment horizontal="center" wrapText="1"/>
    </xf>
    <xf numFmtId="0" fontId="3" fillId="0" borderId="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9" fillId="0" borderId="19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6" fillId="0" borderId="2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14" fillId="0" borderId="41" xfId="0" applyFont="1" applyBorder="1" applyAlignment="1">
      <alignment horizontal="center" wrapText="1"/>
    </xf>
    <xf numFmtId="0" fontId="15" fillId="0" borderId="41" xfId="0" applyFont="1" applyBorder="1" applyAlignment="1">
      <alignment horizontal="center" wrapText="1"/>
    </xf>
    <xf numFmtId="0" fontId="14" fillId="0" borderId="41" xfId="0" applyFont="1" applyBorder="1" applyAlignment="1">
      <alignment horizontal="center" wrapText="1"/>
    </xf>
    <xf numFmtId="0" fontId="15" fillId="0" borderId="41" xfId="0" applyFont="1" applyBorder="1" applyAlignment="1">
      <alignment horizontal="center"/>
    </xf>
    <xf numFmtId="0" fontId="16" fillId="0" borderId="42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2" fillId="0" borderId="7" xfId="0" applyFont="1" applyBorder="1"/>
    <xf numFmtId="0" fontId="17" fillId="0" borderId="7" xfId="0" applyFont="1" applyBorder="1"/>
    <xf numFmtId="0" fontId="15" fillId="0" borderId="7" xfId="0" applyFont="1" applyBorder="1" applyAlignment="1">
      <alignment horizontal="center"/>
    </xf>
    <xf numFmtId="0" fontId="17" fillId="0" borderId="31" xfId="0" applyFont="1" applyBorder="1" applyAlignment="1">
      <alignment horizontal="center"/>
    </xf>
    <xf numFmtId="0" fontId="18" fillId="0" borderId="26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left" vertical="center" wrapText="1"/>
    </xf>
    <xf numFmtId="0" fontId="19" fillId="0" borderId="26" xfId="0" applyFont="1" applyBorder="1" applyAlignment="1">
      <alignment horizontal="center" wrapText="1"/>
    </xf>
    <xf numFmtId="9" fontId="19" fillId="0" borderId="26" xfId="0" applyNumberFormat="1" applyFont="1" applyBorder="1" applyAlignment="1">
      <alignment horizontal="center" wrapText="1"/>
    </xf>
    <xf numFmtId="0" fontId="20" fillId="0" borderId="26" xfId="0" applyFont="1" applyBorder="1" applyAlignment="1">
      <alignment horizontal="center"/>
    </xf>
    <xf numFmtId="0" fontId="19" fillId="0" borderId="26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21" fillId="0" borderId="9" xfId="0" applyFont="1" applyBorder="1" applyAlignment="1">
      <alignment horizontal="left" vertical="center" wrapText="1"/>
    </xf>
    <xf numFmtId="0" fontId="19" fillId="0" borderId="6" xfId="0" applyFont="1" applyBorder="1" applyAlignment="1">
      <alignment horizontal="center" wrapText="1"/>
    </xf>
    <xf numFmtId="0" fontId="16" fillId="0" borderId="26" xfId="0" applyFont="1" applyBorder="1" applyAlignment="1">
      <alignment horizontal="center" vertical="center" wrapText="1"/>
    </xf>
    <xf numFmtId="0" fontId="22" fillId="0" borderId="26" xfId="0" applyFont="1" applyBorder="1"/>
    <xf numFmtId="0" fontId="23" fillId="0" borderId="26" xfId="0" applyFont="1" applyBorder="1" applyAlignment="1">
      <alignment horizontal="left" vertical="center" wrapText="1"/>
    </xf>
    <xf numFmtId="2" fontId="22" fillId="2" borderId="26" xfId="0" applyNumberFormat="1" applyFont="1" applyFill="1" applyBorder="1" applyAlignment="1">
      <alignment horizontal="center"/>
    </xf>
    <xf numFmtId="0" fontId="20" fillId="3" borderId="26" xfId="0" applyFont="1" applyFill="1" applyBorder="1" applyAlignment="1">
      <alignment horizontal="center"/>
    </xf>
    <xf numFmtId="0" fontId="19" fillId="3" borderId="26" xfId="0" applyFont="1" applyFill="1" applyBorder="1" applyAlignment="1">
      <alignment horizontal="center"/>
    </xf>
    <xf numFmtId="0" fontId="24" fillId="3" borderId="26" xfId="0" applyFont="1" applyFill="1" applyBorder="1" applyAlignment="1">
      <alignment horizontal="center" wrapText="1"/>
    </xf>
    <xf numFmtId="0" fontId="20" fillId="0" borderId="6" xfId="0" applyFont="1" applyBorder="1"/>
    <xf numFmtId="0" fontId="24" fillId="0" borderId="26" xfId="0" applyFont="1" applyBorder="1" applyAlignment="1">
      <alignment horizontal="center"/>
    </xf>
    <xf numFmtId="0" fontId="17" fillId="2" borderId="19" xfId="0" applyFont="1" applyFill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25" fillId="0" borderId="26" xfId="0" applyFont="1" applyBorder="1" applyAlignment="1">
      <alignment horizontal="center" wrapText="1"/>
    </xf>
    <xf numFmtId="0" fontId="26" fillId="0" borderId="26" xfId="0" applyFont="1" applyBorder="1" applyAlignment="1">
      <alignment horizontal="right" wrapText="1"/>
    </xf>
    <xf numFmtId="0" fontId="2" fillId="0" borderId="26" xfId="0" applyFont="1" applyBorder="1"/>
    <xf numFmtId="0" fontId="27" fillId="0" borderId="26" xfId="0" applyFont="1" applyBorder="1" applyAlignment="1">
      <alignment horizontal="center" wrapText="1"/>
    </xf>
    <xf numFmtId="0" fontId="2" fillId="0" borderId="26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wrapText="1"/>
    </xf>
    <xf numFmtId="0" fontId="28" fillId="0" borderId="26" xfId="0" applyFont="1" applyBorder="1" applyAlignment="1">
      <alignment horizontal="center"/>
    </xf>
    <xf numFmtId="0" fontId="16" fillId="0" borderId="26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right"/>
    </xf>
    <xf numFmtId="0" fontId="18" fillId="0" borderId="26" xfId="0" applyFont="1" applyBorder="1" applyAlignment="1">
      <alignment horizontal="left" vertical="top" wrapText="1"/>
    </xf>
    <xf numFmtId="0" fontId="29" fillId="0" borderId="26" xfId="0" applyFont="1" applyBorder="1" applyAlignment="1">
      <alignment horizontal="center" vertical="center" wrapText="1"/>
    </xf>
    <xf numFmtId="0" fontId="20" fillId="0" borderId="26" xfId="0" applyFont="1" applyBorder="1"/>
    <xf numFmtId="0" fontId="20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0" fontId="30" fillId="0" borderId="26" xfId="0" applyFont="1" applyBorder="1" applyAlignment="1">
      <alignment vertical="top" wrapText="1"/>
    </xf>
    <xf numFmtId="0" fontId="30" fillId="0" borderId="26" xfId="0" applyFont="1" applyBorder="1" applyAlignment="1">
      <alignment horizontal="left" vertical="center" wrapText="1"/>
    </xf>
    <xf numFmtId="0" fontId="27" fillId="0" borderId="26" xfId="0" applyFont="1" applyBorder="1" applyAlignment="1">
      <alignment horizontal="center"/>
    </xf>
    <xf numFmtId="0" fontId="31" fillId="0" borderId="26" xfId="0" applyFont="1" applyBorder="1" applyAlignment="1">
      <alignment horizontal="right"/>
    </xf>
    <xf numFmtId="0" fontId="32" fillId="0" borderId="26" xfId="0" applyFont="1" applyBorder="1" applyAlignment="1">
      <alignment horizontal="left" vertical="center" wrapText="1"/>
    </xf>
    <xf numFmtId="0" fontId="15" fillId="0" borderId="26" xfId="0" applyFont="1" applyBorder="1" applyAlignment="1">
      <alignment horizontal="center"/>
    </xf>
    <xf numFmtId="0" fontId="14" fillId="0" borderId="26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center"/>
    </xf>
    <xf numFmtId="0" fontId="20" fillId="0" borderId="40" xfId="0" applyFont="1" applyBorder="1"/>
    <xf numFmtId="0" fontId="33" fillId="0" borderId="40" xfId="0" applyFont="1" applyBorder="1"/>
    <xf numFmtId="0" fontId="33" fillId="4" borderId="19" xfId="0" applyFont="1" applyFill="1" applyBorder="1" applyAlignment="1">
      <alignment horizontal="center"/>
    </xf>
    <xf numFmtId="0" fontId="34" fillId="0" borderId="39" xfId="0" applyFont="1" applyBorder="1"/>
    <xf numFmtId="0" fontId="34" fillId="0" borderId="11" xfId="0" applyFont="1" applyBorder="1"/>
    <xf numFmtId="0" fontId="13" fillId="0" borderId="41" xfId="0" applyFont="1" applyBorder="1" applyAlignment="1">
      <alignment horizontal="center"/>
    </xf>
    <xf numFmtId="0" fontId="13" fillId="0" borderId="41" xfId="0" applyFont="1" applyBorder="1" applyAlignment="1"/>
    <xf numFmtId="0" fontId="14" fillId="0" borderId="42" xfId="0" applyFont="1" applyBorder="1" applyAlignment="1">
      <alignment horizontal="center"/>
    </xf>
    <xf numFmtId="0" fontId="14" fillId="0" borderId="7" xfId="0" applyFont="1" applyBorder="1"/>
    <xf numFmtId="0" fontId="14" fillId="0" borderId="31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4" fillId="0" borderId="26" xfId="0" applyFont="1" applyBorder="1"/>
    <xf numFmtId="0" fontId="14" fillId="0" borderId="19" xfId="0" applyFont="1" applyBorder="1" applyAlignment="1">
      <alignment horizontal="center"/>
    </xf>
    <xf numFmtId="0" fontId="34" fillId="0" borderId="20" xfId="0" applyFont="1" applyBorder="1"/>
    <xf numFmtId="0" fontId="14" fillId="0" borderId="24" xfId="0" applyFont="1" applyBorder="1"/>
    <xf numFmtId="0" fontId="14" fillId="0" borderId="21" xfId="0" applyFont="1" applyBorder="1" applyAlignment="1">
      <alignment horizontal="center"/>
    </xf>
    <xf numFmtId="0" fontId="34" fillId="0" borderId="49" xfId="0" applyFont="1" applyBorder="1" applyAlignment="1">
      <alignment horizontal="center"/>
    </xf>
    <xf numFmtId="0" fontId="37" fillId="0" borderId="33" xfId="0" applyFont="1" applyBorder="1"/>
    <xf numFmtId="0" fontId="39" fillId="0" borderId="14" xfId="0" applyFont="1" applyBorder="1"/>
    <xf numFmtId="0" fontId="37" fillId="0" borderId="9" xfId="0" applyFont="1" applyBorder="1"/>
    <xf numFmtId="0" fontId="39" fillId="0" borderId="14" xfId="0" applyFont="1" applyBorder="1" applyAlignment="1">
      <alignment horizontal="center" vertical="top"/>
    </xf>
    <xf numFmtId="0" fontId="39" fillId="0" borderId="22" xfId="0" applyFont="1" applyBorder="1" applyAlignment="1">
      <alignment horizontal="center" vertical="top"/>
    </xf>
    <xf numFmtId="0" fontId="9" fillId="0" borderId="36" xfId="0" applyFont="1" applyBorder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40" fillId="0" borderId="0" xfId="0" applyFont="1" applyAlignment="1">
      <alignment horizontal="center"/>
    </xf>
    <xf numFmtId="0" fontId="44" fillId="0" borderId="24" xfId="0" applyFont="1" applyBorder="1" applyAlignment="1">
      <alignment vertical="top"/>
    </xf>
    <xf numFmtId="0" fontId="45" fillId="0" borderId="26" xfId="0" applyFont="1" applyBorder="1" applyAlignment="1">
      <alignment horizontal="left" vertical="center" wrapText="1"/>
    </xf>
    <xf numFmtId="0" fontId="4" fillId="0" borderId="38" xfId="0" applyFont="1" applyBorder="1"/>
    <xf numFmtId="0" fontId="15" fillId="0" borderId="32" xfId="0" applyFont="1" applyBorder="1" applyAlignment="1">
      <alignment horizontal="center"/>
    </xf>
    <xf numFmtId="0" fontId="4" fillId="0" borderId="33" xfId="0" applyFont="1" applyBorder="1"/>
    <xf numFmtId="0" fontId="14" fillId="0" borderId="49" xfId="0" applyFont="1" applyBorder="1" applyAlignment="1">
      <alignment horizontal="left" wrapText="1"/>
    </xf>
    <xf numFmtId="0" fontId="4" fillId="0" borderId="38" xfId="0" applyFont="1" applyBorder="1" applyAlignment="1">
      <alignment horizontal="left"/>
    </xf>
    <xf numFmtId="0" fontId="47" fillId="0" borderId="50" xfId="0" applyFont="1" applyFill="1" applyBorder="1" applyAlignment="1">
      <alignment horizontal="left" wrapText="1"/>
    </xf>
    <xf numFmtId="9" fontId="14" fillId="0" borderId="7" xfId="0" applyNumberFormat="1" applyFont="1" applyBorder="1" applyAlignment="1">
      <alignment horizontal="center"/>
    </xf>
    <xf numFmtId="0" fontId="2" fillId="0" borderId="2" xfId="0" applyFont="1" applyBorder="1"/>
    <xf numFmtId="0" fontId="4" fillId="0" borderId="7" xfId="0" applyFont="1" applyBorder="1"/>
    <xf numFmtId="0" fontId="7" fillId="0" borderId="17" xfId="0" applyFont="1" applyBorder="1" applyAlignment="1">
      <alignment horizontal="center"/>
    </xf>
    <xf numFmtId="0" fontId="4" fillId="0" borderId="18" xfId="0" applyFont="1" applyBorder="1"/>
    <xf numFmtId="0" fontId="8" fillId="0" borderId="3" xfId="0" applyFont="1" applyBorder="1" applyAlignment="1">
      <alignment horizontal="center"/>
    </xf>
    <xf numFmtId="0" fontId="4" fillId="0" borderId="5" xfId="0" applyFont="1" applyBorder="1"/>
    <xf numFmtId="0" fontId="8" fillId="0" borderId="8" xfId="0" applyFont="1" applyBorder="1" applyAlignment="1">
      <alignment horizontal="center"/>
    </xf>
    <xf numFmtId="0" fontId="4" fillId="0" borderId="10" xfId="0" applyFont="1" applyBorder="1"/>
    <xf numFmtId="0" fontId="3" fillId="0" borderId="3" xfId="0" applyFont="1" applyBorder="1" applyAlignment="1">
      <alignment horizontal="center"/>
    </xf>
    <xf numFmtId="0" fontId="4" fillId="0" borderId="4" xfId="0" applyFont="1" applyBorder="1"/>
    <xf numFmtId="0" fontId="5" fillId="0" borderId="8" xfId="0" applyFont="1" applyBorder="1" applyAlignment="1">
      <alignment horizontal="center" vertical="center" wrapText="1"/>
    </xf>
    <xf numFmtId="0" fontId="4" fillId="0" borderId="9" xfId="0" applyFont="1" applyBorder="1"/>
    <xf numFmtId="0" fontId="6" fillId="0" borderId="11" xfId="0" applyFont="1" applyBorder="1" applyAlignment="1">
      <alignment horizontal="center"/>
    </xf>
    <xf numFmtId="0" fontId="4" fillId="0" borderId="12" xfId="0" applyFont="1" applyBorder="1"/>
    <xf numFmtId="0" fontId="4" fillId="0" borderId="13" xfId="0" applyFont="1" applyBorder="1"/>
    <xf numFmtId="0" fontId="7" fillId="0" borderId="14" xfId="0" applyFont="1" applyBorder="1" applyAlignment="1">
      <alignment horizontal="center"/>
    </xf>
    <xf numFmtId="0" fontId="4" fillId="0" borderId="16" xfId="0" applyFont="1" applyBorder="1"/>
    <xf numFmtId="0" fontId="6" fillId="0" borderId="14" xfId="0" applyFont="1" applyBorder="1" applyAlignment="1">
      <alignment horizontal="left"/>
    </xf>
    <xf numFmtId="164" fontId="8" fillId="0" borderId="8" xfId="0" applyNumberFormat="1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4" fillId="0" borderId="23" xfId="0" applyFont="1" applyBorder="1"/>
    <xf numFmtId="0" fontId="7" fillId="0" borderId="27" xfId="0" applyFont="1" applyBorder="1" applyAlignment="1">
      <alignment horizontal="center"/>
    </xf>
    <xf numFmtId="0" fontId="4" fillId="0" borderId="28" xfId="0" applyFont="1" applyBorder="1"/>
    <xf numFmtId="0" fontId="3" fillId="0" borderId="27" xfId="0" applyFont="1" applyBorder="1" applyAlignment="1">
      <alignment horizontal="center"/>
    </xf>
    <xf numFmtId="0" fontId="4" fillId="0" borderId="29" xfId="0" applyFont="1" applyBorder="1"/>
    <xf numFmtId="0" fontId="9" fillId="5" borderId="14" xfId="0" applyFont="1" applyFill="1" applyBorder="1" applyAlignment="1">
      <alignment horizontal="center"/>
    </xf>
    <xf numFmtId="0" fontId="9" fillId="0" borderId="51" xfId="0" applyFont="1" applyBorder="1"/>
    <xf numFmtId="0" fontId="4" fillId="0" borderId="50" xfId="0" applyFont="1" applyBorder="1"/>
    <xf numFmtId="0" fontId="4" fillId="0" borderId="49" xfId="0" applyFont="1" applyBorder="1"/>
    <xf numFmtId="0" fontId="4" fillId="0" borderId="34" xfId="0" applyFont="1" applyBorder="1"/>
    <xf numFmtId="0" fontId="37" fillId="0" borderId="50" xfId="0" applyFont="1" applyBorder="1"/>
    <xf numFmtId="0" fontId="9" fillId="0" borderId="22" xfId="0" applyFont="1" applyBorder="1" applyAlignment="1">
      <alignment horizontal="center" vertical="top"/>
    </xf>
    <xf numFmtId="0" fontId="4" fillId="0" borderId="37" xfId="0" applyFont="1" applyBorder="1"/>
    <xf numFmtId="0" fontId="1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/>
    </xf>
    <xf numFmtId="0" fontId="9" fillId="5" borderId="22" xfId="0" applyFont="1" applyFill="1" applyBorder="1" applyAlignment="1">
      <alignment horizontal="center"/>
    </xf>
    <xf numFmtId="0" fontId="9" fillId="0" borderId="14" xfId="0" applyFont="1" applyBorder="1"/>
    <xf numFmtId="0" fontId="39" fillId="0" borderId="14" xfId="0" applyFont="1" applyBorder="1"/>
    <xf numFmtId="0" fontId="39" fillId="0" borderId="51" xfId="0" applyFont="1" applyBorder="1" applyAlignment="1">
      <alignment horizontal="center" vertical="top"/>
    </xf>
    <xf numFmtId="0" fontId="4" fillId="0" borderId="52" xfId="0" applyFont="1" applyBorder="1"/>
    <xf numFmtId="0" fontId="4" fillId="0" borderId="53" xfId="0" applyFont="1" applyBorder="1"/>
    <xf numFmtId="0" fontId="13" fillId="0" borderId="46" xfId="0" applyFont="1" applyBorder="1" applyAlignment="1">
      <alignment horizontal="center" vertical="center"/>
    </xf>
    <xf numFmtId="0" fontId="4" fillId="0" borderId="47" xfId="0" applyFont="1" applyBorder="1"/>
    <xf numFmtId="0" fontId="38" fillId="0" borderId="49" xfId="0" applyFont="1" applyBorder="1" applyAlignment="1">
      <alignment horizontal="center"/>
    </xf>
    <xf numFmtId="0" fontId="6" fillId="0" borderId="17" xfId="0" applyFont="1" applyBorder="1" applyAlignment="1">
      <alignment horizontal="left"/>
    </xf>
    <xf numFmtId="0" fontId="10" fillId="2" borderId="8" xfId="0" applyFont="1" applyFill="1" applyBorder="1" applyAlignment="1">
      <alignment horizontal="left" vertical="top"/>
    </xf>
    <xf numFmtId="49" fontId="12" fillId="3" borderId="11" xfId="0" applyNumberFormat="1" applyFont="1" applyFill="1" applyBorder="1" applyAlignment="1">
      <alignment horizontal="left" vertical="center" wrapText="1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4" fillId="0" borderId="34" xfId="0" applyFont="1" applyBorder="1" applyAlignment="1">
      <alignment vertical="center"/>
    </xf>
    <xf numFmtId="0" fontId="6" fillId="0" borderId="8" xfId="0" applyFont="1" applyBorder="1" applyAlignment="1">
      <alignment horizontal="left"/>
    </xf>
    <xf numFmtId="0" fontId="42" fillId="0" borderId="35" xfId="0" applyFont="1" applyBorder="1" applyAlignment="1">
      <alignment horizontal="left"/>
    </xf>
    <xf numFmtId="0" fontId="43" fillId="0" borderId="36" xfId="0" applyFont="1" applyBorder="1"/>
    <xf numFmtId="0" fontId="43" fillId="0" borderId="37" xfId="0" applyFont="1" applyBorder="1"/>
    <xf numFmtId="0" fontId="6" fillId="0" borderId="32" xfId="0" applyFont="1" applyBorder="1" applyAlignment="1">
      <alignment horizontal="left"/>
    </xf>
    <xf numFmtId="0" fontId="4" fillId="0" borderId="38" xfId="0" applyFont="1" applyBorder="1"/>
    <xf numFmtId="0" fontId="36" fillId="0" borderId="49" xfId="0" applyFont="1" applyBorder="1" applyAlignment="1">
      <alignment horizontal="center"/>
    </xf>
    <xf numFmtId="0" fontId="35" fillId="0" borderId="22" xfId="0" applyFont="1" applyBorder="1" applyAlignment="1">
      <alignment horizontal="center" vertical="center"/>
    </xf>
    <xf numFmtId="0" fontId="14" fillId="0" borderId="49" xfId="0" applyFont="1" applyBorder="1" applyAlignment="1">
      <alignment horizontal="left" wrapText="1"/>
    </xf>
    <xf numFmtId="0" fontId="4" fillId="0" borderId="38" xfId="0" applyFont="1" applyBorder="1" applyAlignment="1">
      <alignment horizontal="left"/>
    </xf>
    <xf numFmtId="0" fontId="46" fillId="0" borderId="43" xfId="0" applyFont="1" applyBorder="1" applyAlignment="1">
      <alignment horizontal="left" vertical="center"/>
    </xf>
    <xf numFmtId="0" fontId="4" fillId="0" borderId="44" xfId="0" applyFont="1" applyBorder="1"/>
    <xf numFmtId="0" fontId="4" fillId="0" borderId="45" xfId="0" applyFont="1" applyBorder="1"/>
    <xf numFmtId="0" fontId="13" fillId="0" borderId="46" xfId="0" applyFont="1" applyBorder="1" applyAlignment="1"/>
    <xf numFmtId="0" fontId="4" fillId="0" borderId="48" xfId="0" applyFont="1" applyBorder="1"/>
    <xf numFmtId="0" fontId="15" fillId="0" borderId="32" xfId="0" applyFont="1" applyBorder="1" applyAlignment="1">
      <alignment horizontal="center"/>
    </xf>
    <xf numFmtId="0" fontId="4" fillId="0" borderId="33" xfId="0" applyFont="1" applyBorder="1"/>
    <xf numFmtId="0" fontId="14" fillId="0" borderId="35" xfId="0" applyFont="1" applyBorder="1"/>
    <xf numFmtId="0" fontId="4" fillId="0" borderId="36" xfId="0" applyFont="1" applyBorder="1"/>
    <xf numFmtId="0" fontId="48" fillId="0" borderId="54" xfId="0" applyFont="1" applyBorder="1" applyAlignment="1">
      <alignment horizontal="left" vertical="top" wrapText="1"/>
    </xf>
    <xf numFmtId="0" fontId="49" fillId="0" borderId="55" xfId="0" applyFont="1" applyBorder="1" applyAlignment="1">
      <alignment vertical="top" wrapText="1"/>
    </xf>
    <xf numFmtId="0" fontId="50" fillId="0" borderId="56" xfId="0" applyFont="1" applyBorder="1" applyAlignment="1">
      <alignment horizontal="left"/>
    </xf>
    <xf numFmtId="0" fontId="49" fillId="0" borderId="56" xfId="0" applyFont="1" applyBorder="1"/>
    <xf numFmtId="0" fontId="25" fillId="0" borderId="19" xfId="0" applyFont="1" applyBorder="1" applyAlignment="1">
      <alignment horizontal="center"/>
    </xf>
    <xf numFmtId="0" fontId="25" fillId="0" borderId="26" xfId="0" applyFont="1" applyBorder="1" applyAlignment="1">
      <alignment horizontal="center"/>
    </xf>
    <xf numFmtId="0" fontId="67" fillId="0" borderId="56" xfId="17" applyFont="1" applyFill="1" applyBorder="1" applyAlignment="1">
      <alignment horizontal="left" vertical="center" wrapText="1"/>
    </xf>
    <xf numFmtId="0" fontId="68" fillId="0" borderId="56" xfId="17" applyFont="1" applyFill="1" applyBorder="1" applyAlignment="1">
      <alignment horizontal="center" vertical="top" wrapText="1"/>
    </xf>
    <xf numFmtId="0" fontId="69" fillId="0" borderId="56" xfId="17" applyFont="1" applyBorder="1" applyAlignment="1">
      <alignment wrapText="1"/>
    </xf>
  </cellXfs>
  <cellStyles count="26">
    <cellStyle name="Accent" xfId="2"/>
    <cellStyle name="Accent 1" xfId="3"/>
    <cellStyle name="Accent 2" xfId="4"/>
    <cellStyle name="Accent 3" xfId="5"/>
    <cellStyle name="Bad 2" xfId="6"/>
    <cellStyle name="Error" xfId="7"/>
    <cellStyle name="Excel Built-in Excel Built-in Excel Built-in Excel Built-in Excel Built-in Excel Built-in Excel Built-in Excel Built-in Excel Built-in Excel Built-in TableStyleLight1" xfId="8"/>
    <cellStyle name="Excel Built-in Excel Built-in Excel Built-in Excel Built-in Excel Built-in Excel Built-in Excel Built-in Excel Built-in Normal" xfId="9"/>
    <cellStyle name="Excel Built-in Excel Built-in Normal" xfId="10"/>
    <cellStyle name="Footnote" xfId="11"/>
    <cellStyle name="Good 2" xfId="12"/>
    <cellStyle name="Heading" xfId="13"/>
    <cellStyle name="Heading 1 2" xfId="14"/>
    <cellStyle name="Heading 2 2" xfId="15"/>
    <cellStyle name="Neutral 2" xfId="16"/>
    <cellStyle name="Normal" xfId="0" builtinId="0"/>
    <cellStyle name="Normal 11" xfId="17"/>
    <cellStyle name="Normal 2" xfId="18"/>
    <cellStyle name="Normal 2 2 2 2" xfId="19"/>
    <cellStyle name="Normal 3" xfId="20"/>
    <cellStyle name="Normal 4" xfId="1"/>
    <cellStyle name="Note 2" xfId="21"/>
    <cellStyle name="Status" xfId="22"/>
    <cellStyle name="TableStyleLight1" xfId="23"/>
    <cellStyle name="Text" xfId="24"/>
    <cellStyle name="Warning" xf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44450</xdr:colOff>
      <xdr:row>0</xdr:row>
      <xdr:rowOff>400050</xdr:rowOff>
    </xdr:from>
    <xdr:ext cx="1060450" cy="946150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5450" y="400050"/>
          <a:ext cx="1060450" cy="9461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I1010"/>
  <sheetViews>
    <sheetView tabSelected="1" topLeftCell="A91" workbookViewId="0">
      <selection activeCell="J91" sqref="J91"/>
    </sheetView>
  </sheetViews>
  <sheetFormatPr defaultRowHeight="15" customHeight="1"/>
  <cols>
    <col min="1" max="1" width="5.453125" customWidth="1"/>
    <col min="2" max="2" width="17.90625" customWidth="1"/>
    <col min="3" max="3" width="59" customWidth="1"/>
    <col min="4" max="4" width="12.6328125" customWidth="1"/>
    <col min="5" max="5" width="8" customWidth="1"/>
    <col min="6" max="7" width="12.6328125" customWidth="1"/>
    <col min="8" max="8" width="12.6328125"/>
    <col min="9" max="9" width="33.6328125" customWidth="1"/>
  </cols>
  <sheetData>
    <row r="1" spans="1:9" ht="40.5" customHeight="1">
      <c r="A1" s="1"/>
      <c r="B1" s="114"/>
      <c r="C1" s="122" t="s">
        <v>0</v>
      </c>
      <c r="D1" s="123"/>
      <c r="E1" s="123"/>
      <c r="F1" s="123"/>
      <c r="G1" s="123"/>
      <c r="H1" s="123"/>
      <c r="I1" s="119"/>
    </row>
    <row r="2" spans="1:9" ht="68.25" customHeight="1">
      <c r="A2" s="2"/>
      <c r="B2" s="115"/>
      <c r="C2" s="124" t="s">
        <v>1</v>
      </c>
      <c r="D2" s="125"/>
      <c r="E2" s="125"/>
      <c r="F2" s="125"/>
      <c r="G2" s="125"/>
      <c r="H2" s="125"/>
      <c r="I2" s="121"/>
    </row>
    <row r="3" spans="1:9" ht="16.5" customHeight="1">
      <c r="A3" s="3"/>
      <c r="B3" s="126" t="s">
        <v>2</v>
      </c>
      <c r="C3" s="127"/>
      <c r="D3" s="127"/>
      <c r="E3" s="127"/>
      <c r="F3" s="127"/>
      <c r="G3" s="127"/>
      <c r="H3" s="127"/>
      <c r="I3" s="128"/>
    </row>
    <row r="4" spans="1:9" ht="15.75" customHeight="1">
      <c r="A4" s="4"/>
      <c r="B4" s="5" t="s">
        <v>3</v>
      </c>
      <c r="C4" s="6" t="s">
        <v>113</v>
      </c>
      <c r="D4" s="7"/>
      <c r="E4" s="8"/>
      <c r="F4" s="116" t="s">
        <v>4</v>
      </c>
      <c r="G4" s="117"/>
      <c r="H4" s="118" t="s">
        <v>5</v>
      </c>
      <c r="I4" s="119"/>
    </row>
    <row r="5" spans="1:9" ht="15.75" customHeight="1">
      <c r="A5" s="9"/>
      <c r="B5" s="3" t="s">
        <v>6</v>
      </c>
      <c r="C5" s="10" t="s">
        <v>7</v>
      </c>
      <c r="D5" s="7"/>
      <c r="E5" s="8"/>
      <c r="F5" s="129" t="s">
        <v>8</v>
      </c>
      <c r="G5" s="130"/>
      <c r="H5" s="120" t="s">
        <v>9</v>
      </c>
      <c r="I5" s="121"/>
    </row>
    <row r="6" spans="1:9" ht="15.75" customHeight="1">
      <c r="A6" s="11"/>
      <c r="B6" s="131" t="s">
        <v>10</v>
      </c>
      <c r="C6" s="121"/>
      <c r="D6" s="7"/>
      <c r="E6" s="8"/>
      <c r="F6" s="129" t="s">
        <v>11</v>
      </c>
      <c r="G6" s="130"/>
      <c r="H6" s="132" t="s">
        <v>5</v>
      </c>
      <c r="I6" s="121"/>
    </row>
    <row r="7" spans="1:9" ht="15.75" customHeight="1">
      <c r="A7" s="4"/>
      <c r="B7" s="12" t="s">
        <v>12</v>
      </c>
      <c r="C7" s="13">
        <v>46044</v>
      </c>
      <c r="D7" s="7"/>
      <c r="E7" s="8"/>
      <c r="F7" s="133" t="s">
        <v>13</v>
      </c>
      <c r="G7" s="134"/>
      <c r="H7" s="105" t="s">
        <v>120</v>
      </c>
      <c r="I7" s="14"/>
    </row>
    <row r="8" spans="1:9" ht="15.75" customHeight="1">
      <c r="A8" s="15"/>
      <c r="B8" s="16"/>
      <c r="C8" s="16"/>
      <c r="D8" s="17"/>
      <c r="E8" s="17"/>
      <c r="F8" s="135"/>
      <c r="G8" s="136"/>
      <c r="H8" s="137"/>
      <c r="I8" s="138"/>
    </row>
    <row r="9" spans="1:9" ht="15.75" customHeight="1">
      <c r="A9" s="11"/>
      <c r="B9" s="158" t="s">
        <v>14</v>
      </c>
      <c r="C9" s="119"/>
      <c r="D9" s="7"/>
      <c r="E9" s="8"/>
      <c r="F9" s="158" t="s">
        <v>15</v>
      </c>
      <c r="G9" s="123"/>
      <c r="H9" s="123"/>
      <c r="I9" s="119"/>
    </row>
    <row r="10" spans="1:9" ht="15.75" customHeight="1">
      <c r="A10" s="9"/>
      <c r="B10" s="3" t="s">
        <v>16</v>
      </c>
      <c r="C10" s="18" t="s">
        <v>17</v>
      </c>
      <c r="D10" s="7"/>
      <c r="E10" s="8"/>
      <c r="F10" s="3" t="s">
        <v>16</v>
      </c>
      <c r="G10" s="159" t="s">
        <v>18</v>
      </c>
      <c r="H10" s="125"/>
      <c r="I10" s="121"/>
    </row>
    <row r="11" spans="1:9" ht="15.75" customHeight="1">
      <c r="A11" s="9"/>
      <c r="B11" s="3" t="s">
        <v>19</v>
      </c>
      <c r="C11" s="185" t="s">
        <v>114</v>
      </c>
      <c r="D11" s="7"/>
      <c r="E11" s="8"/>
      <c r="F11" s="3" t="s">
        <v>19</v>
      </c>
      <c r="G11" s="160" t="s">
        <v>119</v>
      </c>
      <c r="H11" s="161"/>
      <c r="I11" s="162"/>
    </row>
    <row r="12" spans="1:9" ht="36" customHeight="1">
      <c r="A12" s="9"/>
      <c r="B12" s="3"/>
      <c r="C12" s="186"/>
      <c r="D12" s="7"/>
      <c r="E12" s="8"/>
      <c r="F12" s="3"/>
      <c r="G12" s="163"/>
      <c r="H12" s="164"/>
      <c r="I12" s="165"/>
    </row>
    <row r="13" spans="1:9" ht="15.75" customHeight="1">
      <c r="A13" s="9"/>
      <c r="B13" s="3" t="s">
        <v>20</v>
      </c>
      <c r="C13" s="187" t="s">
        <v>115</v>
      </c>
      <c r="D13" s="188"/>
      <c r="E13" s="188"/>
      <c r="F13" s="19" t="s">
        <v>20</v>
      </c>
      <c r="G13" s="187" t="s">
        <v>115</v>
      </c>
      <c r="H13" s="188"/>
      <c r="I13" s="188"/>
    </row>
    <row r="14" spans="1:9" ht="15.75" customHeight="1">
      <c r="A14" s="9"/>
      <c r="B14" s="3" t="s">
        <v>21</v>
      </c>
      <c r="C14" s="20" t="s">
        <v>116</v>
      </c>
      <c r="D14" s="7"/>
      <c r="E14" s="8"/>
      <c r="F14" s="3" t="s">
        <v>21</v>
      </c>
      <c r="G14" s="166" t="s">
        <v>116</v>
      </c>
      <c r="H14" s="125"/>
      <c r="I14" s="121"/>
    </row>
    <row r="15" spans="1:9" ht="25.5" customHeight="1" thickBot="1">
      <c r="A15" s="9"/>
      <c r="B15" s="21" t="s">
        <v>22</v>
      </c>
      <c r="C15" s="167" t="s">
        <v>117</v>
      </c>
      <c r="D15" s="168"/>
      <c r="E15" s="169"/>
      <c r="F15" s="21" t="s">
        <v>22</v>
      </c>
      <c r="G15" s="167" t="s">
        <v>117</v>
      </c>
      <c r="H15" s="168"/>
      <c r="I15" s="169"/>
    </row>
    <row r="16" spans="1:9" ht="15.75" customHeight="1">
      <c r="A16" s="15"/>
      <c r="B16" s="170" t="s">
        <v>118</v>
      </c>
      <c r="C16" s="171"/>
      <c r="D16" s="17"/>
      <c r="E16" s="22"/>
      <c r="F16" s="22"/>
      <c r="G16" s="22"/>
      <c r="H16" s="22"/>
      <c r="I16" s="23"/>
    </row>
    <row r="17" spans="1:9" ht="15.75" customHeight="1">
      <c r="A17" s="24"/>
      <c r="B17" s="25"/>
      <c r="C17" s="25"/>
      <c r="D17" s="25"/>
      <c r="E17" s="25"/>
      <c r="F17" s="25"/>
      <c r="G17" s="25"/>
      <c r="H17" s="25"/>
      <c r="I17" s="26"/>
    </row>
    <row r="18" spans="1:9" ht="15.75" customHeight="1">
      <c r="A18" s="27" t="s">
        <v>23</v>
      </c>
      <c r="B18" s="28" t="s">
        <v>24</v>
      </c>
      <c r="C18" s="28" t="s">
        <v>25</v>
      </c>
      <c r="D18" s="27" t="s">
        <v>26</v>
      </c>
      <c r="E18" s="29" t="s">
        <v>27</v>
      </c>
      <c r="F18" s="30" t="s">
        <v>28</v>
      </c>
      <c r="G18" s="30" t="s">
        <v>29</v>
      </c>
      <c r="H18" s="30" t="s">
        <v>30</v>
      </c>
      <c r="I18" s="30" t="s">
        <v>31</v>
      </c>
    </row>
    <row r="19" spans="1:9" ht="43.5" customHeight="1">
      <c r="A19" s="31" t="s">
        <v>32</v>
      </c>
      <c r="B19" s="32" t="s">
        <v>33</v>
      </c>
      <c r="C19" s="33"/>
      <c r="D19" s="34"/>
      <c r="E19" s="34"/>
      <c r="F19" s="34"/>
      <c r="G19" s="35"/>
      <c r="H19" s="34"/>
      <c r="I19" s="36"/>
    </row>
    <row r="20" spans="1:9" ht="21.75" customHeight="1">
      <c r="A20" s="2"/>
      <c r="B20" s="37">
        <v>1</v>
      </c>
      <c r="C20" s="38" t="s">
        <v>34</v>
      </c>
      <c r="D20" s="39">
        <v>940310</v>
      </c>
      <c r="E20" s="40">
        <v>0.18</v>
      </c>
      <c r="F20" s="41" t="s">
        <v>35</v>
      </c>
      <c r="G20" s="41">
        <v>4807</v>
      </c>
      <c r="H20" s="42">
        <v>35</v>
      </c>
      <c r="I20" s="43">
        <f t="shared" ref="I20:I24" si="0">H20*G20</f>
        <v>168245</v>
      </c>
    </row>
    <row r="21" spans="1:9" ht="21.75" customHeight="1">
      <c r="A21" s="2"/>
      <c r="B21" s="37">
        <v>2</v>
      </c>
      <c r="C21" s="38" t="s">
        <v>121</v>
      </c>
      <c r="D21" s="39">
        <v>940310</v>
      </c>
      <c r="E21" s="40">
        <v>0.18</v>
      </c>
      <c r="F21" s="41" t="s">
        <v>35</v>
      </c>
      <c r="G21" s="41">
        <v>6010</v>
      </c>
      <c r="H21" s="42">
        <v>1</v>
      </c>
      <c r="I21" s="43">
        <f>H21*G21</f>
        <v>6010</v>
      </c>
    </row>
    <row r="22" spans="1:9" ht="22.5" customHeight="1">
      <c r="A22" s="2"/>
      <c r="B22" s="39">
        <v>3</v>
      </c>
      <c r="C22" s="38" t="s">
        <v>36</v>
      </c>
      <c r="D22" s="39">
        <v>940310</v>
      </c>
      <c r="E22" s="40">
        <v>0.18</v>
      </c>
      <c r="F22" s="41" t="s">
        <v>35</v>
      </c>
      <c r="G22" s="41">
        <v>9361</v>
      </c>
      <c r="H22" s="42">
        <v>1</v>
      </c>
      <c r="I22" s="43">
        <f t="shared" si="0"/>
        <v>9361</v>
      </c>
    </row>
    <row r="23" spans="1:9" ht="22.5" customHeight="1">
      <c r="A23" s="2"/>
      <c r="B23" s="39">
        <v>4</v>
      </c>
      <c r="C23" s="38" t="s">
        <v>122</v>
      </c>
      <c r="D23" s="39">
        <v>940310</v>
      </c>
      <c r="E23" s="40">
        <v>0.18</v>
      </c>
      <c r="F23" s="41" t="s">
        <v>35</v>
      </c>
      <c r="G23" s="41">
        <v>9361</v>
      </c>
      <c r="H23" s="42">
        <v>2</v>
      </c>
      <c r="I23" s="43">
        <f>H23*G23</f>
        <v>18722</v>
      </c>
    </row>
    <row r="24" spans="1:9" ht="19.5" customHeight="1">
      <c r="A24" s="2"/>
      <c r="B24" s="39">
        <v>5</v>
      </c>
      <c r="C24" s="38" t="s">
        <v>37</v>
      </c>
      <c r="D24" s="39">
        <v>940310</v>
      </c>
      <c r="E24" s="40">
        <v>0.18</v>
      </c>
      <c r="F24" s="41" t="s">
        <v>38</v>
      </c>
      <c r="G24" s="41">
        <v>419</v>
      </c>
      <c r="H24" s="42">
        <v>512</v>
      </c>
      <c r="I24" s="43">
        <f t="shared" si="0"/>
        <v>214528</v>
      </c>
    </row>
    <row r="25" spans="1:9" ht="15.75" customHeight="1">
      <c r="A25" s="2"/>
      <c r="B25" s="39">
        <v>6</v>
      </c>
      <c r="C25" s="38" t="s">
        <v>39</v>
      </c>
      <c r="D25" s="39">
        <v>940310</v>
      </c>
      <c r="E25" s="40">
        <v>0.18</v>
      </c>
      <c r="F25" s="41" t="s">
        <v>38</v>
      </c>
      <c r="G25" s="41">
        <v>823</v>
      </c>
      <c r="H25" s="42">
        <v>128</v>
      </c>
      <c r="I25" s="43">
        <f t="shared" ref="I25:I26" si="1">G25*H25</f>
        <v>105344</v>
      </c>
    </row>
    <row r="26" spans="1:9" ht="15.75" customHeight="1">
      <c r="A26" s="2"/>
      <c r="B26" s="39">
        <v>7</v>
      </c>
      <c r="C26" s="38" t="s">
        <v>40</v>
      </c>
      <c r="D26" s="39">
        <v>998391</v>
      </c>
      <c r="E26" s="40">
        <v>0.18</v>
      </c>
      <c r="F26" s="41" t="s">
        <v>35</v>
      </c>
      <c r="G26" s="41">
        <v>4048</v>
      </c>
      <c r="H26" s="41">
        <v>39</v>
      </c>
      <c r="I26" s="43">
        <f t="shared" si="1"/>
        <v>157872</v>
      </c>
    </row>
    <row r="27" spans="1:9" ht="15.75" customHeight="1">
      <c r="A27" s="2"/>
      <c r="B27" s="39">
        <v>8</v>
      </c>
      <c r="C27" s="44" t="s">
        <v>41</v>
      </c>
      <c r="D27" s="39">
        <v>940310</v>
      </c>
      <c r="E27" s="40">
        <v>0.18</v>
      </c>
      <c r="F27" s="41" t="s">
        <v>35</v>
      </c>
      <c r="G27" s="41">
        <v>8223</v>
      </c>
      <c r="H27" s="41">
        <v>1</v>
      </c>
      <c r="I27" s="43">
        <f>H27*G27</f>
        <v>8223</v>
      </c>
    </row>
    <row r="28" spans="1:9" ht="15.75" customHeight="1">
      <c r="A28" s="2"/>
      <c r="B28" s="39">
        <v>9</v>
      </c>
      <c r="C28" s="44" t="s">
        <v>123</v>
      </c>
      <c r="D28" s="39">
        <v>940310</v>
      </c>
      <c r="E28" s="40">
        <v>0.18</v>
      </c>
      <c r="F28" s="41" t="s">
        <v>35</v>
      </c>
      <c r="G28" s="41">
        <v>22770</v>
      </c>
      <c r="H28" s="41">
        <v>1</v>
      </c>
      <c r="I28" s="43">
        <f>G28*H28</f>
        <v>22770</v>
      </c>
    </row>
    <row r="29" spans="1:9" ht="15.75" customHeight="1">
      <c r="A29" s="2"/>
      <c r="B29" s="39">
        <v>10</v>
      </c>
      <c r="C29" s="44" t="s">
        <v>124</v>
      </c>
      <c r="D29" s="39">
        <v>940310</v>
      </c>
      <c r="E29" s="40">
        <v>0.18</v>
      </c>
      <c r="F29" s="64" t="s">
        <v>112</v>
      </c>
      <c r="G29" s="41">
        <v>949</v>
      </c>
      <c r="H29" s="41">
        <v>12</v>
      </c>
      <c r="I29" s="43">
        <f>H29*G29</f>
        <v>11388</v>
      </c>
    </row>
    <row r="30" spans="1:9" ht="27" customHeight="1">
      <c r="A30" s="45">
        <v>2</v>
      </c>
      <c r="B30" s="46" t="s">
        <v>42</v>
      </c>
      <c r="C30" s="47"/>
      <c r="D30" s="39"/>
      <c r="E30" s="40"/>
      <c r="F30" s="41"/>
      <c r="G30" s="41"/>
      <c r="H30" s="41"/>
      <c r="I30" s="43"/>
    </row>
    <row r="31" spans="1:9" ht="27" customHeight="1">
      <c r="A31" s="45"/>
      <c r="B31" s="46"/>
      <c r="C31" s="47" t="s">
        <v>125</v>
      </c>
      <c r="D31" s="39">
        <v>940310</v>
      </c>
      <c r="E31" s="40">
        <v>0.18</v>
      </c>
      <c r="F31" s="41" t="s">
        <v>38</v>
      </c>
      <c r="G31" s="41">
        <v>152</v>
      </c>
      <c r="H31" s="41">
        <v>477</v>
      </c>
      <c r="I31" s="43">
        <f>G31*H31</f>
        <v>72504</v>
      </c>
    </row>
    <row r="32" spans="1:9" ht="15.75" customHeight="1">
      <c r="A32" s="2"/>
      <c r="B32" s="39">
        <v>1</v>
      </c>
      <c r="C32" s="48" t="s">
        <v>43</v>
      </c>
      <c r="D32" s="39">
        <v>940310</v>
      </c>
      <c r="E32" s="40">
        <v>0.18</v>
      </c>
      <c r="F32" s="41" t="s">
        <v>38</v>
      </c>
      <c r="G32" s="49">
        <v>354</v>
      </c>
      <c r="H32" s="41">
        <v>737.52</v>
      </c>
      <c r="I32" s="43">
        <f t="shared" ref="I32:I33" si="2">H32*G32</f>
        <v>261082.08</v>
      </c>
    </row>
    <row r="33" spans="1:9" ht="15.75" customHeight="1">
      <c r="A33" s="2"/>
      <c r="B33" s="39">
        <v>3</v>
      </c>
      <c r="C33" s="48" t="s">
        <v>44</v>
      </c>
      <c r="D33" s="39">
        <v>940310</v>
      </c>
      <c r="E33" s="40">
        <v>0.18</v>
      </c>
      <c r="F33" s="50" t="s">
        <v>38</v>
      </c>
      <c r="G33" s="51">
        <v>354</v>
      </c>
      <c r="H33" s="50">
        <v>210.2</v>
      </c>
      <c r="I33" s="43">
        <f t="shared" si="2"/>
        <v>74410.8</v>
      </c>
    </row>
    <row r="34" spans="1:9" ht="15.75" customHeight="1">
      <c r="A34" s="2"/>
      <c r="B34" s="39">
        <v>4</v>
      </c>
      <c r="C34" s="48" t="s">
        <v>45</v>
      </c>
      <c r="D34" s="39"/>
      <c r="E34" s="40"/>
      <c r="F34" s="50"/>
      <c r="G34" s="51"/>
      <c r="H34" s="50"/>
      <c r="I34" s="43"/>
    </row>
    <row r="35" spans="1:9" ht="15.75" customHeight="1">
      <c r="A35" s="45"/>
      <c r="B35" s="52" t="s">
        <v>46</v>
      </c>
      <c r="C35" s="48" t="s">
        <v>111</v>
      </c>
      <c r="D35" s="39">
        <v>940310</v>
      </c>
      <c r="E35" s="40">
        <v>0.18</v>
      </c>
      <c r="F35" s="50" t="s">
        <v>35</v>
      </c>
      <c r="G35" s="51">
        <v>14168</v>
      </c>
      <c r="H35" s="50">
        <v>1</v>
      </c>
      <c r="I35" s="43">
        <f t="shared" ref="I35:I43" si="3">H35*G35</f>
        <v>14168</v>
      </c>
    </row>
    <row r="36" spans="1:9" ht="15.75" customHeight="1">
      <c r="A36" s="53"/>
      <c r="B36" s="54" t="s">
        <v>47</v>
      </c>
      <c r="C36" s="48" t="s">
        <v>48</v>
      </c>
      <c r="D36" s="39">
        <v>940310</v>
      </c>
      <c r="E36" s="40">
        <v>0.18</v>
      </c>
      <c r="F36" s="41" t="s">
        <v>35</v>
      </c>
      <c r="G36" s="41">
        <v>13283</v>
      </c>
      <c r="H36" s="41">
        <v>6</v>
      </c>
      <c r="I36" s="55">
        <f t="shared" si="3"/>
        <v>79698</v>
      </c>
    </row>
    <row r="37" spans="1:9" ht="15.75" customHeight="1">
      <c r="A37" s="53"/>
      <c r="B37" s="54">
        <v>5</v>
      </c>
      <c r="C37" s="48" t="s">
        <v>49</v>
      </c>
      <c r="D37" s="39">
        <v>721669</v>
      </c>
      <c r="E37" s="40">
        <v>0.18</v>
      </c>
      <c r="F37" s="50" t="s">
        <v>38</v>
      </c>
      <c r="G37" s="41">
        <v>76</v>
      </c>
      <c r="H37" s="41">
        <v>1008</v>
      </c>
      <c r="I37" s="43">
        <f t="shared" si="3"/>
        <v>76608</v>
      </c>
    </row>
    <row r="38" spans="1:9" ht="15.75" customHeight="1">
      <c r="A38" s="53"/>
      <c r="B38" s="54">
        <v>6</v>
      </c>
      <c r="C38" s="48" t="s">
        <v>50</v>
      </c>
      <c r="D38" s="39">
        <v>730890</v>
      </c>
      <c r="E38" s="40">
        <v>0.18</v>
      </c>
      <c r="F38" s="50" t="s">
        <v>38</v>
      </c>
      <c r="G38" s="41">
        <v>108</v>
      </c>
      <c r="H38" s="41">
        <v>1366</v>
      </c>
      <c r="I38" s="43">
        <f t="shared" si="3"/>
        <v>147528</v>
      </c>
    </row>
    <row r="39" spans="1:9" ht="15.75" customHeight="1">
      <c r="A39" s="56"/>
      <c r="B39" s="41">
        <v>7</v>
      </c>
      <c r="C39" s="48" t="s">
        <v>51</v>
      </c>
      <c r="D39" s="39">
        <v>320910</v>
      </c>
      <c r="E39" s="40">
        <v>0.18</v>
      </c>
      <c r="F39" s="57" t="s">
        <v>38</v>
      </c>
      <c r="G39" s="57">
        <v>20</v>
      </c>
      <c r="H39" s="57">
        <v>7349</v>
      </c>
      <c r="I39" s="43">
        <f t="shared" si="3"/>
        <v>146980</v>
      </c>
    </row>
    <row r="40" spans="1:9" ht="15.75" customHeight="1">
      <c r="A40" s="53"/>
      <c r="B40" s="41">
        <v>8</v>
      </c>
      <c r="C40" s="48" t="s">
        <v>52</v>
      </c>
      <c r="D40" s="39">
        <v>940310</v>
      </c>
      <c r="E40" s="40">
        <v>0.18</v>
      </c>
      <c r="F40" s="57" t="s">
        <v>38</v>
      </c>
      <c r="G40" s="57">
        <v>348</v>
      </c>
      <c r="H40" s="57">
        <v>12</v>
      </c>
      <c r="I40" s="43">
        <f t="shared" si="3"/>
        <v>4176</v>
      </c>
    </row>
    <row r="41" spans="1:9" ht="15.75" customHeight="1">
      <c r="A41" s="53"/>
      <c r="B41" s="41">
        <v>9</v>
      </c>
      <c r="C41" s="48" t="s">
        <v>53</v>
      </c>
      <c r="D41" s="39">
        <v>940310</v>
      </c>
      <c r="E41" s="40">
        <v>0.18</v>
      </c>
      <c r="F41" s="57" t="s">
        <v>38</v>
      </c>
      <c r="G41" s="57">
        <v>348</v>
      </c>
      <c r="H41" s="57">
        <v>36</v>
      </c>
      <c r="I41" s="43">
        <f t="shared" si="3"/>
        <v>12528</v>
      </c>
    </row>
    <row r="42" spans="1:9" ht="15.75" customHeight="1">
      <c r="A42" s="53"/>
      <c r="B42" s="41">
        <v>10</v>
      </c>
      <c r="C42" s="48" t="s">
        <v>54</v>
      </c>
      <c r="D42" s="39">
        <v>940310</v>
      </c>
      <c r="E42" s="40">
        <v>0.18</v>
      </c>
      <c r="F42" s="57" t="s">
        <v>38</v>
      </c>
      <c r="G42" s="57">
        <v>132</v>
      </c>
      <c r="H42" s="57">
        <v>348</v>
      </c>
      <c r="I42" s="43">
        <f t="shared" si="3"/>
        <v>45936</v>
      </c>
    </row>
    <row r="43" spans="1:9" ht="15.75" customHeight="1">
      <c r="A43" s="53"/>
      <c r="B43" s="41">
        <v>12</v>
      </c>
      <c r="C43" s="48" t="s">
        <v>55</v>
      </c>
      <c r="D43" s="39">
        <v>940310</v>
      </c>
      <c r="E43" s="40">
        <v>0.18</v>
      </c>
      <c r="F43" s="57" t="s">
        <v>38</v>
      </c>
      <c r="G43" s="57">
        <v>266</v>
      </c>
      <c r="H43" s="57">
        <v>731</v>
      </c>
      <c r="I43" s="43">
        <f t="shared" si="3"/>
        <v>194446</v>
      </c>
    </row>
    <row r="44" spans="1:9" ht="36" customHeight="1">
      <c r="A44" s="56">
        <v>3</v>
      </c>
      <c r="B44" s="58" t="s">
        <v>56</v>
      </c>
      <c r="C44" s="38"/>
      <c r="D44" s="59"/>
      <c r="E44" s="40"/>
      <c r="F44" s="60"/>
      <c r="G44" s="60"/>
      <c r="H44" s="60"/>
      <c r="I44" s="43"/>
    </row>
    <row r="45" spans="1:9" ht="15.75" customHeight="1">
      <c r="A45" s="56"/>
      <c r="B45" s="61">
        <v>1</v>
      </c>
      <c r="C45" s="38" t="s">
        <v>57</v>
      </c>
      <c r="D45" s="39">
        <v>850440</v>
      </c>
      <c r="E45" s="40">
        <v>0.18</v>
      </c>
      <c r="F45" s="57" t="s">
        <v>35</v>
      </c>
      <c r="G45" s="57">
        <v>506</v>
      </c>
      <c r="H45" s="57">
        <v>49</v>
      </c>
      <c r="I45" s="43">
        <f t="shared" ref="I45:I49" si="4">H45*G45</f>
        <v>24794</v>
      </c>
    </row>
    <row r="46" spans="1:9" ht="15.75" customHeight="1">
      <c r="A46" s="56"/>
      <c r="B46" s="61">
        <v>2</v>
      </c>
      <c r="C46" s="38" t="s">
        <v>58</v>
      </c>
      <c r="D46" s="39">
        <v>850440</v>
      </c>
      <c r="E46" s="40">
        <v>0.18</v>
      </c>
      <c r="F46" s="57" t="s">
        <v>35</v>
      </c>
      <c r="G46" s="57">
        <v>633</v>
      </c>
      <c r="H46" s="57">
        <v>20</v>
      </c>
      <c r="I46" s="43">
        <f t="shared" si="4"/>
        <v>12660</v>
      </c>
    </row>
    <row r="47" spans="1:9" ht="15.75" customHeight="1">
      <c r="A47" s="56"/>
      <c r="B47" s="61">
        <v>3</v>
      </c>
      <c r="C47" s="38" t="s">
        <v>59</v>
      </c>
      <c r="D47" s="39">
        <v>850440</v>
      </c>
      <c r="E47" s="40">
        <v>0.18</v>
      </c>
      <c r="F47" s="57" t="s">
        <v>35</v>
      </c>
      <c r="G47" s="57">
        <v>734</v>
      </c>
      <c r="H47" s="57">
        <v>6</v>
      </c>
      <c r="I47" s="43">
        <f t="shared" si="4"/>
        <v>4404</v>
      </c>
    </row>
    <row r="48" spans="1:9" ht="15.75" customHeight="1">
      <c r="A48" s="56"/>
      <c r="B48" s="61">
        <v>4</v>
      </c>
      <c r="C48" s="38" t="s">
        <v>60</v>
      </c>
      <c r="D48" s="39">
        <v>850440</v>
      </c>
      <c r="E48" s="40">
        <v>0.18</v>
      </c>
      <c r="F48" s="57" t="s">
        <v>35</v>
      </c>
      <c r="G48" s="57">
        <v>633</v>
      </c>
      <c r="H48" s="57">
        <v>57</v>
      </c>
      <c r="I48" s="43">
        <f t="shared" si="4"/>
        <v>36081</v>
      </c>
    </row>
    <row r="49" spans="1:9" ht="15.75" customHeight="1">
      <c r="A49" s="56"/>
      <c r="B49" s="61">
        <v>5</v>
      </c>
      <c r="C49" s="38" t="s">
        <v>61</v>
      </c>
      <c r="D49" s="39">
        <v>850440</v>
      </c>
      <c r="E49" s="40">
        <v>0.18</v>
      </c>
      <c r="F49" s="57" t="s">
        <v>35</v>
      </c>
      <c r="G49" s="57">
        <v>950</v>
      </c>
      <c r="H49" s="57">
        <v>5</v>
      </c>
      <c r="I49" s="43">
        <f t="shared" si="4"/>
        <v>4750</v>
      </c>
    </row>
    <row r="50" spans="1:9" ht="31.5" customHeight="1">
      <c r="A50" s="56"/>
      <c r="B50" s="61">
        <v>6</v>
      </c>
      <c r="C50" s="38" t="s">
        <v>62</v>
      </c>
      <c r="D50" s="60"/>
      <c r="E50" s="40"/>
      <c r="F50" s="60"/>
      <c r="G50" s="60"/>
      <c r="H50" s="62"/>
      <c r="I50" s="43"/>
    </row>
    <row r="51" spans="1:9" ht="51" customHeight="1">
      <c r="A51" s="56"/>
      <c r="B51" s="63" t="s">
        <v>46</v>
      </c>
      <c r="C51" s="38" t="s">
        <v>63</v>
      </c>
      <c r="D51" s="39">
        <v>850440</v>
      </c>
      <c r="E51" s="40">
        <v>0.18</v>
      </c>
      <c r="F51" s="57" t="s">
        <v>64</v>
      </c>
      <c r="G51" s="57">
        <v>132</v>
      </c>
      <c r="H51" s="57">
        <v>978</v>
      </c>
      <c r="I51" s="43">
        <f t="shared" ref="I51:I53" si="5">H51*G51</f>
        <v>129096</v>
      </c>
    </row>
    <row r="52" spans="1:9" ht="57" customHeight="1">
      <c r="A52" s="56"/>
      <c r="B52" s="63" t="s">
        <v>47</v>
      </c>
      <c r="C52" s="38" t="s">
        <v>65</v>
      </c>
      <c r="D52" s="39">
        <v>850440</v>
      </c>
      <c r="E52" s="40">
        <v>0.18</v>
      </c>
      <c r="F52" s="57" t="s">
        <v>64</v>
      </c>
      <c r="G52" s="57">
        <v>177</v>
      </c>
      <c r="H52" s="57">
        <v>456</v>
      </c>
      <c r="I52" s="43">
        <f t="shared" si="5"/>
        <v>80712</v>
      </c>
    </row>
    <row r="53" spans="1:9" ht="57" customHeight="1">
      <c r="A53" s="56"/>
      <c r="B53" s="63" t="s">
        <v>66</v>
      </c>
      <c r="C53" s="38" t="s">
        <v>67</v>
      </c>
      <c r="D53" s="39">
        <v>850440</v>
      </c>
      <c r="E53" s="40">
        <v>0.18</v>
      </c>
      <c r="F53" s="57" t="s">
        <v>64</v>
      </c>
      <c r="G53" s="57">
        <v>493</v>
      </c>
      <c r="H53" s="57">
        <v>70</v>
      </c>
      <c r="I53" s="55">
        <f t="shared" si="5"/>
        <v>34510</v>
      </c>
    </row>
    <row r="54" spans="1:9" ht="15.75" customHeight="1">
      <c r="A54" s="56"/>
      <c r="B54" s="58">
        <v>7</v>
      </c>
      <c r="C54" s="38" t="s">
        <v>68</v>
      </c>
      <c r="D54" s="59"/>
      <c r="E54" s="40"/>
      <c r="F54" s="60"/>
      <c r="G54" s="60"/>
      <c r="H54" s="62"/>
      <c r="I54" s="43"/>
    </row>
    <row r="55" spans="1:9" ht="15.75" customHeight="1">
      <c r="A55" s="56"/>
      <c r="B55" s="63" t="s">
        <v>46</v>
      </c>
      <c r="C55" s="38" t="s">
        <v>69</v>
      </c>
      <c r="D55" s="39">
        <v>850440</v>
      </c>
      <c r="E55" s="40">
        <v>0.18</v>
      </c>
      <c r="F55" s="57" t="s">
        <v>64</v>
      </c>
      <c r="G55" s="57">
        <v>304</v>
      </c>
      <c r="H55" s="57">
        <v>5</v>
      </c>
      <c r="I55" s="43">
        <f t="shared" ref="I55:I57" si="6">H55*G55</f>
        <v>1520</v>
      </c>
    </row>
    <row r="56" spans="1:9" ht="15.75" customHeight="1">
      <c r="A56" s="56"/>
      <c r="B56" s="63" t="s">
        <v>47</v>
      </c>
      <c r="C56" s="38" t="s">
        <v>70</v>
      </c>
      <c r="D56" s="39">
        <v>850440</v>
      </c>
      <c r="E56" s="40">
        <v>0.18</v>
      </c>
      <c r="F56" s="57" t="s">
        <v>35</v>
      </c>
      <c r="G56" s="57">
        <v>734</v>
      </c>
      <c r="H56" s="57">
        <v>2</v>
      </c>
      <c r="I56" s="43">
        <f t="shared" si="6"/>
        <v>1468</v>
      </c>
    </row>
    <row r="57" spans="1:9" ht="15.75" customHeight="1">
      <c r="A57" s="53"/>
      <c r="B57" s="54" t="s">
        <v>66</v>
      </c>
      <c r="C57" s="38" t="s">
        <v>71</v>
      </c>
      <c r="D57" s="39">
        <v>850440</v>
      </c>
      <c r="E57" s="40">
        <v>0.18</v>
      </c>
      <c r="F57" s="64" t="s">
        <v>35</v>
      </c>
      <c r="G57" s="64">
        <v>633</v>
      </c>
      <c r="H57" s="64">
        <v>1</v>
      </c>
      <c r="I57" s="43">
        <f t="shared" si="6"/>
        <v>633</v>
      </c>
    </row>
    <row r="58" spans="1:9" ht="15.75" customHeight="1">
      <c r="A58" s="53"/>
      <c r="B58" s="41">
        <v>8</v>
      </c>
      <c r="C58" s="65" t="s">
        <v>72</v>
      </c>
      <c r="D58" s="39"/>
      <c r="E58" s="40"/>
      <c r="F58" s="66"/>
      <c r="G58" s="60"/>
      <c r="H58" s="60"/>
      <c r="I58" s="43"/>
    </row>
    <row r="59" spans="1:9" ht="15.75" customHeight="1">
      <c r="A59" s="53"/>
      <c r="B59" s="54" t="s">
        <v>46</v>
      </c>
      <c r="C59" s="67" t="s">
        <v>73</v>
      </c>
      <c r="D59" s="39">
        <v>860440</v>
      </c>
      <c r="E59" s="40">
        <v>0.18</v>
      </c>
      <c r="F59" s="41" t="s">
        <v>74</v>
      </c>
      <c r="G59" s="57">
        <v>101</v>
      </c>
      <c r="H59" s="57">
        <v>52</v>
      </c>
      <c r="I59" s="43">
        <f t="shared" ref="I59:I60" si="7">H59*G59</f>
        <v>5252</v>
      </c>
    </row>
    <row r="60" spans="1:9" ht="39.75" customHeight="1">
      <c r="A60" s="53"/>
      <c r="B60" s="54" t="s">
        <v>47</v>
      </c>
      <c r="C60" s="38" t="s">
        <v>75</v>
      </c>
      <c r="D60" s="39">
        <v>850440</v>
      </c>
      <c r="E60" s="40">
        <v>0.18</v>
      </c>
      <c r="F60" s="41" t="s">
        <v>35</v>
      </c>
      <c r="G60" s="57">
        <v>7590</v>
      </c>
      <c r="H60" s="57">
        <v>2</v>
      </c>
      <c r="I60" s="43">
        <f t="shared" si="7"/>
        <v>15180</v>
      </c>
    </row>
    <row r="61" spans="1:9" ht="15.75" customHeight="1">
      <c r="A61" s="56">
        <v>4</v>
      </c>
      <c r="B61" s="68" t="s">
        <v>76</v>
      </c>
      <c r="C61" s="60"/>
      <c r="D61" s="69"/>
      <c r="E61" s="40"/>
      <c r="F61" s="66"/>
      <c r="G61" s="60"/>
      <c r="H61" s="60"/>
      <c r="I61" s="43"/>
    </row>
    <row r="62" spans="1:9" ht="33" customHeight="1">
      <c r="A62" s="53"/>
      <c r="B62" s="70" t="s">
        <v>46</v>
      </c>
      <c r="C62" s="38" t="s">
        <v>77</v>
      </c>
      <c r="D62" s="39">
        <v>850440</v>
      </c>
      <c r="E62" s="40">
        <v>0.18</v>
      </c>
      <c r="F62" s="64" t="s">
        <v>35</v>
      </c>
      <c r="G62" s="57">
        <v>2875</v>
      </c>
      <c r="H62" s="57">
        <v>36</v>
      </c>
      <c r="I62" s="43">
        <f t="shared" ref="I62:I63" si="8">H62*G62</f>
        <v>103500</v>
      </c>
    </row>
    <row r="63" spans="1:9" ht="33" customHeight="1">
      <c r="A63" s="53"/>
      <c r="B63" s="70" t="s">
        <v>47</v>
      </c>
      <c r="C63" s="38" t="s">
        <v>78</v>
      </c>
      <c r="D63" s="39">
        <v>850440</v>
      </c>
      <c r="E63" s="40">
        <v>0.18</v>
      </c>
      <c r="F63" s="64" t="s">
        <v>35</v>
      </c>
      <c r="G63" s="57">
        <v>460</v>
      </c>
      <c r="H63" s="57">
        <v>10</v>
      </c>
      <c r="I63" s="43">
        <f t="shared" si="8"/>
        <v>4600</v>
      </c>
    </row>
    <row r="64" spans="1:9" ht="15.75" customHeight="1">
      <c r="A64" s="56">
        <v>5</v>
      </c>
      <c r="B64" s="46" t="s">
        <v>79</v>
      </c>
      <c r="C64" s="60"/>
      <c r="D64" s="69"/>
      <c r="E64" s="40"/>
      <c r="F64" s="66"/>
      <c r="G64" s="57"/>
      <c r="H64" s="57"/>
      <c r="I64" s="43"/>
    </row>
    <row r="65" spans="1:9" ht="36.75" customHeight="1">
      <c r="A65" s="53"/>
      <c r="B65" s="70">
        <v>1</v>
      </c>
      <c r="C65" s="38" t="s">
        <v>80</v>
      </c>
      <c r="D65" s="39">
        <v>850440</v>
      </c>
      <c r="E65" s="40">
        <v>0.18</v>
      </c>
      <c r="F65" s="41" t="s">
        <v>35</v>
      </c>
      <c r="G65" s="57">
        <v>2720</v>
      </c>
      <c r="H65" s="57">
        <v>20</v>
      </c>
      <c r="I65" s="43">
        <f>H65*G65</f>
        <v>54400</v>
      </c>
    </row>
    <row r="66" spans="1:9" ht="15.75" customHeight="1">
      <c r="A66" s="56">
        <v>6</v>
      </c>
      <c r="B66" s="71" t="s">
        <v>81</v>
      </c>
      <c r="C66" s="38"/>
      <c r="D66" s="69"/>
      <c r="E66" s="40"/>
      <c r="F66" s="66"/>
      <c r="G66" s="60"/>
      <c r="H66" s="60"/>
      <c r="I66" s="43"/>
    </row>
    <row r="67" spans="1:9" ht="30" customHeight="1">
      <c r="A67" s="56"/>
      <c r="B67" s="41">
        <v>10</v>
      </c>
      <c r="C67" s="72" t="s">
        <v>126</v>
      </c>
      <c r="D67" s="39">
        <v>850440</v>
      </c>
      <c r="E67" s="40">
        <v>0.18</v>
      </c>
      <c r="F67" s="41" t="s">
        <v>35</v>
      </c>
      <c r="G67" s="57">
        <v>15094</v>
      </c>
      <c r="H67" s="57">
        <v>1</v>
      </c>
      <c r="I67" s="43">
        <f t="shared" ref="I67:I68" si="9">H67*G67</f>
        <v>15094</v>
      </c>
    </row>
    <row r="68" spans="1:9" ht="15.75" customHeight="1">
      <c r="A68" s="56"/>
      <c r="B68" s="41" t="s">
        <v>47</v>
      </c>
      <c r="C68" s="73" t="s">
        <v>82</v>
      </c>
      <c r="D68" s="39">
        <v>850440</v>
      </c>
      <c r="E68" s="40">
        <v>0.18</v>
      </c>
      <c r="F68" s="42" t="s">
        <v>35</v>
      </c>
      <c r="G68" s="57">
        <v>10925</v>
      </c>
      <c r="H68" s="57">
        <v>2</v>
      </c>
      <c r="I68" s="43">
        <f t="shared" si="9"/>
        <v>21850</v>
      </c>
    </row>
    <row r="69" spans="1:9" ht="15.75" customHeight="1">
      <c r="A69" s="56">
        <v>7</v>
      </c>
      <c r="B69" s="41"/>
      <c r="C69" s="73" t="s">
        <v>128</v>
      </c>
      <c r="D69" s="39">
        <v>850440</v>
      </c>
      <c r="E69" s="40">
        <v>0.18</v>
      </c>
      <c r="F69" s="42" t="s">
        <v>35</v>
      </c>
      <c r="G69" s="57">
        <v>10000</v>
      </c>
      <c r="H69" s="57">
        <v>1</v>
      </c>
      <c r="I69" s="43">
        <v>10000</v>
      </c>
    </row>
    <row r="70" spans="1:9" ht="15.75" customHeight="1">
      <c r="A70" s="56">
        <v>8</v>
      </c>
      <c r="B70" s="41" t="s">
        <v>127</v>
      </c>
      <c r="C70" s="191" t="s">
        <v>129</v>
      </c>
      <c r="D70" s="39">
        <v>850440</v>
      </c>
      <c r="E70" s="40">
        <v>0.18</v>
      </c>
      <c r="F70" s="42" t="s">
        <v>35</v>
      </c>
      <c r="G70" s="57">
        <v>1950</v>
      </c>
      <c r="H70" s="57">
        <v>4</v>
      </c>
      <c r="I70" s="43">
        <f>G70*H70</f>
        <v>7800</v>
      </c>
    </row>
    <row r="71" spans="1:9" ht="15.75" customHeight="1">
      <c r="A71" s="56">
        <v>9</v>
      </c>
      <c r="B71" s="74" t="s">
        <v>83</v>
      </c>
      <c r="C71" s="73"/>
      <c r="D71" s="69"/>
      <c r="E71" s="40"/>
      <c r="F71" s="75"/>
      <c r="G71" s="60"/>
      <c r="H71" s="60"/>
      <c r="I71" s="43"/>
    </row>
    <row r="72" spans="1:9" ht="15.75" customHeight="1">
      <c r="A72" s="56"/>
      <c r="B72" s="41">
        <v>1</v>
      </c>
      <c r="C72" s="73" t="s">
        <v>84</v>
      </c>
      <c r="D72" s="39">
        <v>854449</v>
      </c>
      <c r="E72" s="40">
        <v>0.18</v>
      </c>
      <c r="F72" s="42" t="s">
        <v>74</v>
      </c>
      <c r="G72" s="57">
        <v>35</v>
      </c>
      <c r="H72" s="57">
        <v>272</v>
      </c>
      <c r="I72" s="43">
        <f t="shared" ref="I72:I75" si="10">H72*G72</f>
        <v>9520</v>
      </c>
    </row>
    <row r="73" spans="1:9" ht="33" customHeight="1">
      <c r="A73" s="56"/>
      <c r="B73" s="41">
        <v>2</v>
      </c>
      <c r="C73" s="38" t="s">
        <v>85</v>
      </c>
      <c r="D73" s="39">
        <v>854449</v>
      </c>
      <c r="E73" s="40">
        <v>0.18</v>
      </c>
      <c r="F73" s="42" t="s">
        <v>35</v>
      </c>
      <c r="G73" s="57">
        <v>374</v>
      </c>
      <c r="H73" s="57">
        <v>12</v>
      </c>
      <c r="I73" s="43">
        <f t="shared" si="10"/>
        <v>4488</v>
      </c>
    </row>
    <row r="74" spans="1:9" ht="41.25" customHeight="1">
      <c r="A74" s="56"/>
      <c r="B74" s="41">
        <v>3</v>
      </c>
      <c r="C74" s="38" t="s">
        <v>86</v>
      </c>
      <c r="D74" s="39">
        <v>854449</v>
      </c>
      <c r="E74" s="40">
        <v>0.18</v>
      </c>
      <c r="F74" s="42" t="s">
        <v>35</v>
      </c>
      <c r="G74" s="57">
        <v>173</v>
      </c>
      <c r="H74" s="57">
        <v>9</v>
      </c>
      <c r="I74" s="43">
        <f t="shared" si="10"/>
        <v>1557</v>
      </c>
    </row>
    <row r="75" spans="1:9" ht="36" customHeight="1">
      <c r="A75" s="56"/>
      <c r="B75" s="41">
        <v>4</v>
      </c>
      <c r="C75" s="38" t="s">
        <v>87</v>
      </c>
      <c r="D75" s="39">
        <v>854449</v>
      </c>
      <c r="E75" s="40">
        <v>0.18</v>
      </c>
      <c r="F75" s="42" t="s">
        <v>35</v>
      </c>
      <c r="G75" s="57">
        <v>127</v>
      </c>
      <c r="H75" s="57">
        <v>9</v>
      </c>
      <c r="I75" s="43">
        <f t="shared" si="10"/>
        <v>1143</v>
      </c>
    </row>
    <row r="76" spans="1:9" ht="63.75" customHeight="1">
      <c r="A76" s="56"/>
      <c r="B76" s="41">
        <v>5</v>
      </c>
      <c r="C76" s="38" t="s">
        <v>88</v>
      </c>
      <c r="D76" s="39">
        <v>854449</v>
      </c>
      <c r="E76" s="40">
        <v>0.18</v>
      </c>
      <c r="F76" s="42" t="s">
        <v>35</v>
      </c>
      <c r="G76" s="57">
        <v>6578</v>
      </c>
      <c r="H76" s="57">
        <v>1</v>
      </c>
      <c r="I76" s="43">
        <f>G76*H76</f>
        <v>6578</v>
      </c>
    </row>
    <row r="77" spans="1:9" ht="29.25" customHeight="1">
      <c r="A77" s="56"/>
      <c r="B77" s="41">
        <v>6</v>
      </c>
      <c r="C77" s="38" t="s">
        <v>89</v>
      </c>
      <c r="D77" s="39">
        <v>854449</v>
      </c>
      <c r="E77" s="40">
        <v>0.18</v>
      </c>
      <c r="F77" s="42" t="s">
        <v>35</v>
      </c>
      <c r="G77" s="57">
        <v>152</v>
      </c>
      <c r="H77" s="57">
        <v>12</v>
      </c>
      <c r="I77" s="43">
        <f t="shared" ref="I77:I79" si="11">H77*G77</f>
        <v>1824</v>
      </c>
    </row>
    <row r="78" spans="1:9" ht="15.75" customHeight="1">
      <c r="A78" s="56"/>
      <c r="B78" s="41">
        <v>7</v>
      </c>
      <c r="C78" s="76" t="s">
        <v>90</v>
      </c>
      <c r="D78" s="39">
        <v>854449</v>
      </c>
      <c r="E78" s="40">
        <v>0.18</v>
      </c>
      <c r="F78" s="42" t="s">
        <v>35</v>
      </c>
      <c r="G78" s="57">
        <v>10500</v>
      </c>
      <c r="H78" s="57">
        <v>1</v>
      </c>
      <c r="I78" s="43">
        <f t="shared" si="11"/>
        <v>10500</v>
      </c>
    </row>
    <row r="79" spans="1:9" ht="15.75" customHeight="1">
      <c r="A79" s="56"/>
      <c r="B79" s="41">
        <v>8</v>
      </c>
      <c r="C79" s="38" t="s">
        <v>91</v>
      </c>
      <c r="D79" s="39">
        <v>854449</v>
      </c>
      <c r="E79" s="40">
        <v>0.18</v>
      </c>
      <c r="F79" s="42" t="s">
        <v>35</v>
      </c>
      <c r="G79" s="57">
        <v>9750</v>
      </c>
      <c r="H79" s="57">
        <v>1</v>
      </c>
      <c r="I79" s="43">
        <f t="shared" si="11"/>
        <v>9750</v>
      </c>
    </row>
    <row r="80" spans="1:9" ht="15.75" customHeight="1">
      <c r="A80" s="56">
        <v>8</v>
      </c>
      <c r="B80" s="77" t="s">
        <v>92</v>
      </c>
      <c r="C80" s="73"/>
      <c r="D80" s="69"/>
      <c r="E80" s="40"/>
      <c r="F80" s="42"/>
      <c r="G80" s="57"/>
      <c r="H80" s="57"/>
      <c r="I80" s="43"/>
    </row>
    <row r="81" spans="1:9" ht="15.75" customHeight="1">
      <c r="A81" s="56"/>
      <c r="B81" s="41">
        <v>1</v>
      </c>
      <c r="C81" s="73" t="s">
        <v>93</v>
      </c>
      <c r="D81" s="39">
        <v>854449</v>
      </c>
      <c r="E81" s="40">
        <v>0.18</v>
      </c>
      <c r="F81" s="42" t="s">
        <v>64</v>
      </c>
      <c r="G81" s="57">
        <v>38</v>
      </c>
      <c r="H81" s="57">
        <v>176</v>
      </c>
      <c r="I81" s="43">
        <f t="shared" ref="I81:I82" si="12">H81*G81</f>
        <v>6688</v>
      </c>
    </row>
    <row r="82" spans="1:9" ht="15.75" customHeight="1">
      <c r="A82" s="53"/>
      <c r="B82" s="41">
        <v>2</v>
      </c>
      <c r="C82" s="73" t="s">
        <v>94</v>
      </c>
      <c r="D82" s="39">
        <v>850440</v>
      </c>
      <c r="E82" s="40">
        <v>0.18</v>
      </c>
      <c r="F82" s="41" t="s">
        <v>64</v>
      </c>
      <c r="G82" s="64">
        <v>43</v>
      </c>
      <c r="H82" s="64">
        <v>176</v>
      </c>
      <c r="I82" s="43">
        <f t="shared" si="12"/>
        <v>7568</v>
      </c>
    </row>
    <row r="83" spans="1:9" ht="15.75" customHeight="1">
      <c r="A83" s="53">
        <v>9</v>
      </c>
      <c r="B83" s="190" t="s">
        <v>130</v>
      </c>
      <c r="C83" s="73"/>
      <c r="D83" s="39"/>
      <c r="E83" s="39"/>
      <c r="F83" s="41"/>
      <c r="G83" s="64"/>
      <c r="H83" s="64"/>
      <c r="I83" s="43"/>
    </row>
    <row r="84" spans="1:9" ht="27.5" customHeight="1">
      <c r="A84" s="56"/>
      <c r="B84" s="41">
        <v>1</v>
      </c>
      <c r="C84" s="192" t="s">
        <v>131</v>
      </c>
      <c r="D84" s="39">
        <v>940310</v>
      </c>
      <c r="E84" s="40">
        <v>0.18</v>
      </c>
      <c r="F84" s="41" t="s">
        <v>133</v>
      </c>
      <c r="G84" s="64">
        <v>435</v>
      </c>
      <c r="H84" s="64">
        <v>214</v>
      </c>
      <c r="I84" s="43">
        <f>H84*G84</f>
        <v>93090</v>
      </c>
    </row>
    <row r="85" spans="1:9" ht="29.5" customHeight="1">
      <c r="A85" s="53"/>
      <c r="B85" s="41">
        <v>2</v>
      </c>
      <c r="C85" s="193" t="s">
        <v>132</v>
      </c>
      <c r="D85" s="39">
        <v>870410</v>
      </c>
      <c r="E85" s="40">
        <v>0.18</v>
      </c>
      <c r="F85" s="41" t="s">
        <v>35</v>
      </c>
      <c r="G85" s="64">
        <v>1</v>
      </c>
      <c r="H85" s="64">
        <v>15000</v>
      </c>
      <c r="I85" s="43">
        <f>H85*G85</f>
        <v>15000</v>
      </c>
    </row>
    <row r="86" spans="1:9" ht="15.75" customHeight="1">
      <c r="A86" s="53"/>
      <c r="B86" s="41"/>
      <c r="C86" s="106"/>
      <c r="D86" s="39"/>
      <c r="E86" s="40"/>
      <c r="F86" s="41"/>
      <c r="G86" s="64"/>
      <c r="H86" s="64"/>
      <c r="I86" s="43"/>
    </row>
    <row r="87" spans="1:9" ht="15.75" customHeight="1">
      <c r="A87" s="53"/>
      <c r="B87" s="41"/>
      <c r="C87" s="73"/>
      <c r="D87" s="39"/>
      <c r="E87" s="39"/>
      <c r="F87" s="41"/>
      <c r="G87" s="64"/>
      <c r="H87" s="64"/>
      <c r="I87" s="43"/>
    </row>
    <row r="88" spans="1:9" ht="15.75" customHeight="1">
      <c r="A88" s="53"/>
      <c r="B88" s="69"/>
      <c r="C88" s="78"/>
      <c r="D88" s="69"/>
      <c r="E88" s="69"/>
      <c r="F88" s="66"/>
      <c r="G88" s="66"/>
      <c r="H88" s="71" t="s">
        <v>95</v>
      </c>
      <c r="I88" s="79">
        <f>SUM(I19:I87)</f>
        <v>2588537.88</v>
      </c>
    </row>
    <row r="89" spans="1:9" ht="15.75" customHeight="1">
      <c r="A89" s="53"/>
      <c r="B89" s="69"/>
      <c r="C89" s="78"/>
      <c r="D89" s="69"/>
      <c r="E89" s="69"/>
      <c r="F89" s="66"/>
      <c r="G89" s="66"/>
      <c r="H89" s="66" t="s">
        <v>96</v>
      </c>
      <c r="I89" s="189">
        <f>I88*18%</f>
        <v>465936.81839999999</v>
      </c>
    </row>
    <row r="90" spans="1:9" ht="21" customHeight="1">
      <c r="A90" s="53"/>
      <c r="B90" s="69"/>
      <c r="C90" s="80"/>
      <c r="D90" s="80"/>
      <c r="E90" s="80"/>
      <c r="F90" s="80"/>
      <c r="G90" s="81" t="s">
        <v>97</v>
      </c>
      <c r="I90" s="82">
        <f>I89+I88</f>
        <v>3054474.6984000001</v>
      </c>
    </row>
    <row r="91" spans="1:9" ht="30.75" customHeight="1">
      <c r="A91" s="83"/>
      <c r="B91" s="84"/>
      <c r="C91" s="176" t="s">
        <v>134</v>
      </c>
      <c r="D91" s="177"/>
      <c r="E91" s="177"/>
      <c r="F91" s="177"/>
      <c r="G91" s="177"/>
      <c r="H91" s="177"/>
      <c r="I91" s="178"/>
    </row>
    <row r="92" spans="1:9" ht="30.75" customHeight="1" thickBot="1">
      <c r="A92" s="27" t="s">
        <v>23</v>
      </c>
      <c r="B92" s="155" t="s">
        <v>98</v>
      </c>
      <c r="C92" s="156"/>
      <c r="D92" s="85" t="s">
        <v>99</v>
      </c>
      <c r="E92" s="179" t="s">
        <v>100</v>
      </c>
      <c r="F92" s="180"/>
      <c r="G92" s="156"/>
      <c r="H92" s="86" t="s">
        <v>101</v>
      </c>
      <c r="I92" s="85" t="s">
        <v>102</v>
      </c>
    </row>
    <row r="93" spans="1:9" ht="30.75" customHeight="1">
      <c r="A93" s="87">
        <v>1</v>
      </c>
      <c r="B93" s="147">
        <v>940310</v>
      </c>
      <c r="C93" s="148"/>
      <c r="D93" s="113">
        <v>0.18</v>
      </c>
      <c r="E93" s="181"/>
      <c r="F93" s="182"/>
      <c r="G93" s="171"/>
      <c r="H93" s="88"/>
      <c r="I93" s="89">
        <f t="shared" ref="I93:I99" si="13">H93</f>
        <v>0</v>
      </c>
    </row>
    <row r="94" spans="1:9" ht="30.75" customHeight="1">
      <c r="A94" s="90">
        <v>2</v>
      </c>
      <c r="B94" s="174">
        <v>721669</v>
      </c>
      <c r="C94" s="175"/>
      <c r="D94" s="113">
        <v>0.18</v>
      </c>
      <c r="E94" s="181"/>
      <c r="F94" s="182"/>
      <c r="G94" s="171"/>
      <c r="H94" s="91"/>
      <c r="I94" s="92">
        <f t="shared" si="13"/>
        <v>0</v>
      </c>
    </row>
    <row r="95" spans="1:9" ht="30.75" customHeight="1">
      <c r="A95" s="90">
        <v>3</v>
      </c>
      <c r="B95" s="110">
        <v>730890</v>
      </c>
      <c r="C95" s="111"/>
      <c r="D95" s="113">
        <v>0.18</v>
      </c>
      <c r="E95" s="108"/>
      <c r="F95" s="109"/>
      <c r="G95" s="107"/>
      <c r="H95" s="91"/>
      <c r="I95" s="92"/>
    </row>
    <row r="96" spans="1:9" ht="30.75" customHeight="1">
      <c r="A96" s="90">
        <v>4</v>
      </c>
      <c r="B96" s="110">
        <v>320910</v>
      </c>
      <c r="C96" s="111"/>
      <c r="D96" s="113">
        <v>0.18</v>
      </c>
      <c r="E96" s="108"/>
      <c r="F96" s="109"/>
      <c r="G96" s="107"/>
      <c r="H96" s="91"/>
      <c r="I96" s="92"/>
    </row>
    <row r="97" spans="1:9" ht="30.75" customHeight="1">
      <c r="A97" s="90">
        <v>5</v>
      </c>
      <c r="B97" s="174">
        <v>850440</v>
      </c>
      <c r="C97" s="175"/>
      <c r="D97" s="113">
        <v>0.18</v>
      </c>
      <c r="E97" s="108"/>
      <c r="F97" s="109"/>
      <c r="G97" s="107"/>
      <c r="H97" s="91"/>
      <c r="I97" s="92"/>
    </row>
    <row r="98" spans="1:9" ht="30.75" customHeight="1">
      <c r="A98" s="90">
        <v>6</v>
      </c>
      <c r="B98" s="110">
        <v>854449</v>
      </c>
      <c r="C98" s="111"/>
      <c r="D98" s="113">
        <v>0.18</v>
      </c>
      <c r="E98" s="108"/>
      <c r="F98" s="109"/>
      <c r="G98" s="107"/>
      <c r="H98" s="91"/>
      <c r="I98" s="92"/>
    </row>
    <row r="99" spans="1:9" ht="30.75" customHeight="1">
      <c r="A99" s="90">
        <v>7</v>
      </c>
      <c r="B99" s="112">
        <v>995475</v>
      </c>
      <c r="D99" s="113">
        <v>0.18</v>
      </c>
      <c r="E99" s="181"/>
      <c r="F99" s="182"/>
      <c r="G99" s="171"/>
      <c r="H99" s="91"/>
      <c r="I99" s="92">
        <f t="shared" si="13"/>
        <v>0</v>
      </c>
    </row>
    <row r="100" spans="1:9" ht="30.75" customHeight="1" thickBot="1">
      <c r="A100" s="93"/>
      <c r="B100" s="173" t="s">
        <v>95</v>
      </c>
      <c r="C100" s="134"/>
      <c r="D100" s="94"/>
      <c r="E100" s="183">
        <f>SUM(F93:G99)</f>
        <v>0</v>
      </c>
      <c r="F100" s="184"/>
      <c r="G100" s="134"/>
      <c r="H100" s="94">
        <f t="shared" ref="H100:I100" si="14">SUM(H93:H99)</f>
        <v>0</v>
      </c>
      <c r="I100" s="95">
        <f t="shared" si="14"/>
        <v>0</v>
      </c>
    </row>
    <row r="101" spans="1:9" ht="15.75" customHeight="1">
      <c r="A101" s="96"/>
      <c r="B101" s="172" t="s">
        <v>103</v>
      </c>
      <c r="C101" s="143"/>
      <c r="D101" s="97"/>
      <c r="E101" s="97"/>
      <c r="F101" s="144"/>
      <c r="G101" s="138"/>
      <c r="H101" s="157" t="s">
        <v>104</v>
      </c>
      <c r="I101" s="143"/>
    </row>
    <row r="102" spans="1:9" ht="15.75" customHeight="1">
      <c r="A102" s="98"/>
      <c r="B102" s="151" t="s">
        <v>105</v>
      </c>
      <c r="C102" s="121"/>
      <c r="D102" s="99"/>
      <c r="E102" s="97"/>
      <c r="F102" s="141"/>
      <c r="G102" s="138"/>
      <c r="H102" s="139" t="s">
        <v>106</v>
      </c>
      <c r="I102" s="121"/>
    </row>
    <row r="103" spans="1:9" ht="15.75" customHeight="1">
      <c r="A103" s="98"/>
      <c r="B103" s="150" t="s">
        <v>107</v>
      </c>
      <c r="C103" s="121"/>
      <c r="D103" s="99"/>
      <c r="E103" s="97"/>
      <c r="F103" s="141"/>
      <c r="G103" s="138"/>
      <c r="H103" s="140"/>
      <c r="I103" s="128"/>
    </row>
    <row r="104" spans="1:9" ht="15.75" customHeight="1">
      <c r="A104" s="100"/>
      <c r="B104" s="152" t="s">
        <v>108</v>
      </c>
      <c r="C104" s="128"/>
      <c r="D104" s="99"/>
      <c r="E104" s="97"/>
      <c r="F104" s="141"/>
      <c r="G104" s="138"/>
      <c r="H104" s="141"/>
      <c r="I104" s="138"/>
    </row>
    <row r="105" spans="1:9" ht="15.75" customHeight="1">
      <c r="A105" s="100"/>
      <c r="B105" s="141"/>
      <c r="C105" s="138"/>
      <c r="D105" s="99"/>
      <c r="E105" s="97"/>
      <c r="F105" s="141"/>
      <c r="G105" s="138"/>
      <c r="H105" s="141"/>
      <c r="I105" s="138"/>
    </row>
    <row r="106" spans="1:9" ht="15.75" customHeight="1">
      <c r="A106" s="100"/>
      <c r="B106" s="141"/>
      <c r="C106" s="138"/>
      <c r="D106" s="99"/>
      <c r="E106" s="97"/>
      <c r="F106" s="141"/>
      <c r="G106" s="138"/>
      <c r="H106" s="141"/>
      <c r="I106" s="138"/>
    </row>
    <row r="107" spans="1:9" ht="15.75" customHeight="1">
      <c r="A107" s="100"/>
      <c r="B107" s="141"/>
      <c r="C107" s="138"/>
      <c r="D107" s="99"/>
      <c r="E107" s="97"/>
      <c r="F107" s="142"/>
      <c r="G107" s="143"/>
      <c r="H107" s="142"/>
      <c r="I107" s="143"/>
    </row>
    <row r="108" spans="1:9" ht="15.75" customHeight="1">
      <c r="A108" s="101"/>
      <c r="B108" s="153"/>
      <c r="C108" s="154"/>
      <c r="D108" s="102"/>
      <c r="E108" s="102"/>
      <c r="F108" s="145" t="s">
        <v>109</v>
      </c>
      <c r="G108" s="146"/>
      <c r="H108" s="149" t="s">
        <v>110</v>
      </c>
      <c r="I108" s="146"/>
    </row>
    <row r="109" spans="1:9" ht="15.75" customHeight="1">
      <c r="A109" s="103"/>
      <c r="B109" s="103"/>
      <c r="C109" s="103"/>
      <c r="D109" s="103"/>
      <c r="E109" s="103"/>
      <c r="F109" s="103"/>
      <c r="G109" s="103"/>
      <c r="H109" s="103"/>
      <c r="I109" s="103"/>
    </row>
    <row r="110" spans="1:9" ht="15.75" customHeight="1">
      <c r="A110" s="103"/>
      <c r="B110" s="103"/>
      <c r="C110" s="103"/>
      <c r="D110" s="103"/>
      <c r="E110" s="103"/>
      <c r="F110" s="103"/>
      <c r="G110" s="103"/>
      <c r="H110" s="103"/>
      <c r="I110" s="103"/>
    </row>
    <row r="111" spans="1:9" ht="15.75" customHeight="1">
      <c r="I111" s="104"/>
    </row>
    <row r="112" spans="1:9" ht="15.75" customHeight="1">
      <c r="I112" s="104"/>
    </row>
    <row r="113" spans="9:9" ht="15.75" customHeight="1">
      <c r="I113" s="104"/>
    </row>
    <row r="114" spans="9:9" ht="15.75" customHeight="1">
      <c r="I114" s="104"/>
    </row>
    <row r="115" spans="9:9" ht="15.75" customHeight="1">
      <c r="I115" s="104"/>
    </row>
    <row r="116" spans="9:9" ht="15.75" customHeight="1">
      <c r="I116" s="104"/>
    </row>
    <row r="117" spans="9:9" ht="15.75" customHeight="1">
      <c r="I117" s="104"/>
    </row>
    <row r="118" spans="9:9" ht="15.75" customHeight="1">
      <c r="I118" s="104"/>
    </row>
    <row r="119" spans="9:9" ht="15.75" customHeight="1">
      <c r="I119" s="104"/>
    </row>
    <row r="120" spans="9:9" ht="15.75" customHeight="1">
      <c r="I120" s="104"/>
    </row>
    <row r="121" spans="9:9" ht="15.75" customHeight="1">
      <c r="I121" s="104"/>
    </row>
    <row r="122" spans="9:9" ht="15.75" customHeight="1">
      <c r="I122" s="104"/>
    </row>
    <row r="123" spans="9:9" ht="15.75" customHeight="1">
      <c r="I123" s="104"/>
    </row>
    <row r="124" spans="9:9" ht="15.75" customHeight="1">
      <c r="I124" s="104"/>
    </row>
    <row r="125" spans="9:9" ht="15.75" customHeight="1">
      <c r="I125" s="104"/>
    </row>
    <row r="126" spans="9:9" ht="15.75" customHeight="1">
      <c r="I126" s="104"/>
    </row>
    <row r="127" spans="9:9" ht="15.75" customHeight="1">
      <c r="I127" s="104"/>
    </row>
    <row r="128" spans="9:9" ht="15.75" customHeight="1">
      <c r="I128" s="104"/>
    </row>
    <row r="129" spans="9:9" ht="15.75" customHeight="1">
      <c r="I129" s="104"/>
    </row>
    <row r="130" spans="9:9" ht="15.75" customHeight="1">
      <c r="I130" s="104"/>
    </row>
    <row r="131" spans="9:9" ht="15.75" customHeight="1">
      <c r="I131" s="104"/>
    </row>
    <row r="132" spans="9:9" ht="15.75" customHeight="1">
      <c r="I132" s="104"/>
    </row>
    <row r="133" spans="9:9" ht="15.75" customHeight="1">
      <c r="I133" s="104"/>
    </row>
    <row r="134" spans="9:9" ht="15.75" customHeight="1">
      <c r="I134" s="104"/>
    </row>
    <row r="135" spans="9:9" ht="15.75" customHeight="1">
      <c r="I135" s="104"/>
    </row>
    <row r="136" spans="9:9" ht="15.75" customHeight="1">
      <c r="I136" s="104"/>
    </row>
    <row r="137" spans="9:9" ht="15.75" customHeight="1">
      <c r="I137" s="104"/>
    </row>
    <row r="138" spans="9:9" ht="15.75" customHeight="1">
      <c r="I138" s="104"/>
    </row>
    <row r="139" spans="9:9" ht="15.75" customHeight="1">
      <c r="I139" s="104"/>
    </row>
    <row r="140" spans="9:9" ht="15.75" customHeight="1">
      <c r="I140" s="104"/>
    </row>
    <row r="141" spans="9:9" ht="15.75" customHeight="1">
      <c r="I141" s="104"/>
    </row>
    <row r="142" spans="9:9" ht="15.75" customHeight="1">
      <c r="I142" s="104"/>
    </row>
    <row r="143" spans="9:9" ht="15.75" customHeight="1">
      <c r="I143" s="104"/>
    </row>
    <row r="144" spans="9:9" ht="15.75" customHeight="1">
      <c r="I144" s="104"/>
    </row>
    <row r="145" spans="9:9" ht="15.75" customHeight="1">
      <c r="I145" s="104"/>
    </row>
    <row r="146" spans="9:9" ht="15.75" customHeight="1">
      <c r="I146" s="104"/>
    </row>
    <row r="147" spans="9:9" ht="15.75" customHeight="1">
      <c r="I147" s="104"/>
    </row>
    <row r="148" spans="9:9" ht="15.75" customHeight="1">
      <c r="I148" s="104"/>
    </row>
    <row r="149" spans="9:9" ht="15.75" customHeight="1">
      <c r="I149" s="104"/>
    </row>
    <row r="150" spans="9:9" ht="15.75" customHeight="1">
      <c r="I150" s="104"/>
    </row>
    <row r="151" spans="9:9" ht="15.75" customHeight="1">
      <c r="I151" s="104"/>
    </row>
    <row r="152" spans="9:9" ht="15.75" customHeight="1">
      <c r="I152" s="104"/>
    </row>
    <row r="153" spans="9:9" ht="15.75" customHeight="1">
      <c r="I153" s="104"/>
    </row>
    <row r="154" spans="9:9" ht="15.75" customHeight="1">
      <c r="I154" s="104"/>
    </row>
    <row r="155" spans="9:9" ht="15.75" customHeight="1">
      <c r="I155" s="104"/>
    </row>
    <row r="156" spans="9:9" ht="15.75" customHeight="1">
      <c r="I156" s="104"/>
    </row>
    <row r="157" spans="9:9" ht="15.75" customHeight="1">
      <c r="I157" s="104"/>
    </row>
    <row r="158" spans="9:9" ht="15.75" customHeight="1">
      <c r="I158" s="104"/>
    </row>
    <row r="159" spans="9:9" ht="15.75" customHeight="1">
      <c r="I159" s="104"/>
    </row>
    <row r="160" spans="9:9" ht="15.75" customHeight="1">
      <c r="I160" s="104"/>
    </row>
    <row r="161" spans="9:9" ht="15.75" customHeight="1">
      <c r="I161" s="104"/>
    </row>
    <row r="162" spans="9:9" ht="15.75" customHeight="1">
      <c r="I162" s="104"/>
    </row>
    <row r="163" spans="9:9" ht="15.75" customHeight="1">
      <c r="I163" s="104"/>
    </row>
    <row r="164" spans="9:9" ht="15.75" customHeight="1">
      <c r="I164" s="104"/>
    </row>
    <row r="165" spans="9:9" ht="15.75" customHeight="1">
      <c r="I165" s="104"/>
    </row>
    <row r="166" spans="9:9" ht="15.75" customHeight="1">
      <c r="I166" s="104"/>
    </row>
    <row r="167" spans="9:9" ht="15.75" customHeight="1">
      <c r="I167" s="104"/>
    </row>
    <row r="168" spans="9:9" ht="15.75" customHeight="1">
      <c r="I168" s="104"/>
    </row>
    <row r="169" spans="9:9" ht="15.75" customHeight="1">
      <c r="I169" s="104"/>
    </row>
    <row r="170" spans="9:9" ht="15.75" customHeight="1">
      <c r="I170" s="104"/>
    </row>
    <row r="171" spans="9:9" ht="15.75" customHeight="1">
      <c r="I171" s="104"/>
    </row>
    <row r="172" spans="9:9" ht="15.75" customHeight="1">
      <c r="I172" s="104"/>
    </row>
    <row r="173" spans="9:9" ht="15.75" customHeight="1">
      <c r="I173" s="104"/>
    </row>
    <row r="174" spans="9:9" ht="15.75" customHeight="1">
      <c r="I174" s="104"/>
    </row>
    <row r="175" spans="9:9" ht="15.75" customHeight="1">
      <c r="I175" s="104"/>
    </row>
    <row r="176" spans="9:9" ht="15.75" customHeight="1">
      <c r="I176" s="104"/>
    </row>
    <row r="177" spans="9:9" ht="15.75" customHeight="1">
      <c r="I177" s="104"/>
    </row>
    <row r="178" spans="9:9" ht="15.75" customHeight="1">
      <c r="I178" s="104"/>
    </row>
    <row r="179" spans="9:9" ht="15.75" customHeight="1">
      <c r="I179" s="104"/>
    </row>
    <row r="180" spans="9:9" ht="15.75" customHeight="1">
      <c r="I180" s="104"/>
    </row>
    <row r="181" spans="9:9" ht="15.75" customHeight="1">
      <c r="I181" s="104"/>
    </row>
    <row r="182" spans="9:9" ht="15.75" customHeight="1">
      <c r="I182" s="104"/>
    </row>
    <row r="183" spans="9:9" ht="15.75" customHeight="1">
      <c r="I183" s="104"/>
    </row>
    <row r="184" spans="9:9" ht="15.75" customHeight="1">
      <c r="I184" s="104"/>
    </row>
    <row r="185" spans="9:9" ht="15.75" customHeight="1">
      <c r="I185" s="104"/>
    </row>
    <row r="186" spans="9:9" ht="15.75" customHeight="1">
      <c r="I186" s="104"/>
    </row>
    <row r="187" spans="9:9" ht="15.75" customHeight="1">
      <c r="I187" s="104"/>
    </row>
    <row r="188" spans="9:9" ht="15.75" customHeight="1">
      <c r="I188" s="104"/>
    </row>
    <row r="189" spans="9:9" ht="15.75" customHeight="1">
      <c r="I189" s="104"/>
    </row>
    <row r="190" spans="9:9" ht="15.75" customHeight="1">
      <c r="I190" s="104"/>
    </row>
    <row r="191" spans="9:9" ht="15.75" customHeight="1">
      <c r="I191" s="104"/>
    </row>
    <row r="192" spans="9:9" ht="15.75" customHeight="1">
      <c r="I192" s="104"/>
    </row>
    <row r="193" spans="9:9" ht="15.75" customHeight="1">
      <c r="I193" s="104"/>
    </row>
    <row r="194" spans="9:9" ht="15.75" customHeight="1">
      <c r="I194" s="104"/>
    </row>
    <row r="195" spans="9:9" ht="15.75" customHeight="1">
      <c r="I195" s="104"/>
    </row>
    <row r="196" spans="9:9" ht="15.75" customHeight="1">
      <c r="I196" s="104"/>
    </row>
    <row r="197" spans="9:9" ht="15.75" customHeight="1">
      <c r="I197" s="104"/>
    </row>
    <row r="198" spans="9:9" ht="15.75" customHeight="1">
      <c r="I198" s="104"/>
    </row>
    <row r="199" spans="9:9" ht="15.75" customHeight="1">
      <c r="I199" s="104"/>
    </row>
    <row r="200" spans="9:9" ht="15.75" customHeight="1">
      <c r="I200" s="104"/>
    </row>
    <row r="201" spans="9:9" ht="15.75" customHeight="1">
      <c r="I201" s="104"/>
    </row>
    <row r="202" spans="9:9" ht="15.75" customHeight="1">
      <c r="I202" s="104"/>
    </row>
    <row r="203" spans="9:9" ht="15.75" customHeight="1">
      <c r="I203" s="104"/>
    </row>
    <row r="204" spans="9:9" ht="15.75" customHeight="1">
      <c r="I204" s="104"/>
    </row>
    <row r="205" spans="9:9" ht="15.75" customHeight="1">
      <c r="I205" s="104"/>
    </row>
    <row r="206" spans="9:9" ht="15.75" customHeight="1">
      <c r="I206" s="104"/>
    </row>
    <row r="207" spans="9:9" ht="15.75" customHeight="1">
      <c r="I207" s="104"/>
    </row>
    <row r="208" spans="9:9" ht="15.75" customHeight="1">
      <c r="I208" s="104"/>
    </row>
    <row r="209" spans="9:9" ht="15.75" customHeight="1">
      <c r="I209" s="104"/>
    </row>
    <row r="210" spans="9:9" ht="15.75" customHeight="1">
      <c r="I210" s="104"/>
    </row>
    <row r="211" spans="9:9" ht="15.75" customHeight="1">
      <c r="I211" s="104"/>
    </row>
    <row r="212" spans="9:9" ht="15.75" customHeight="1">
      <c r="I212" s="104"/>
    </row>
    <row r="213" spans="9:9" ht="15.75" customHeight="1">
      <c r="I213" s="104"/>
    </row>
    <row r="214" spans="9:9" ht="15.75" customHeight="1">
      <c r="I214" s="104"/>
    </row>
    <row r="215" spans="9:9" ht="15.75" customHeight="1">
      <c r="I215" s="104"/>
    </row>
    <row r="216" spans="9:9" ht="15.75" customHeight="1">
      <c r="I216" s="104"/>
    </row>
    <row r="217" spans="9:9" ht="15.75" customHeight="1">
      <c r="I217" s="104"/>
    </row>
    <row r="218" spans="9:9" ht="15.75" customHeight="1">
      <c r="I218" s="104"/>
    </row>
    <row r="219" spans="9:9" ht="15.75" customHeight="1">
      <c r="I219" s="104"/>
    </row>
    <row r="220" spans="9:9" ht="15.75" customHeight="1">
      <c r="I220" s="104"/>
    </row>
    <row r="221" spans="9:9" ht="15.75" customHeight="1">
      <c r="I221" s="104"/>
    </row>
    <row r="222" spans="9:9" ht="15.75" customHeight="1">
      <c r="I222" s="104"/>
    </row>
    <row r="223" spans="9:9" ht="15.75" customHeight="1">
      <c r="I223" s="104"/>
    </row>
    <row r="224" spans="9:9" ht="15.75" customHeight="1">
      <c r="I224" s="104"/>
    </row>
    <row r="225" spans="9:9" ht="15.75" customHeight="1">
      <c r="I225" s="104"/>
    </row>
    <row r="226" spans="9:9" ht="15.75" customHeight="1">
      <c r="I226" s="104"/>
    </row>
    <row r="227" spans="9:9" ht="15.75" customHeight="1">
      <c r="I227" s="104"/>
    </row>
    <row r="228" spans="9:9" ht="15.75" customHeight="1">
      <c r="I228" s="104"/>
    </row>
    <row r="229" spans="9:9" ht="15.75" customHeight="1">
      <c r="I229" s="104"/>
    </row>
    <row r="230" spans="9:9" ht="15.75" customHeight="1">
      <c r="I230" s="104"/>
    </row>
    <row r="231" spans="9:9" ht="15.75" customHeight="1">
      <c r="I231" s="104"/>
    </row>
    <row r="232" spans="9:9" ht="15.75" customHeight="1">
      <c r="I232" s="104"/>
    </row>
    <row r="233" spans="9:9" ht="15.75" customHeight="1">
      <c r="I233" s="104"/>
    </row>
    <row r="234" spans="9:9" ht="15.75" customHeight="1">
      <c r="I234" s="104"/>
    </row>
    <row r="235" spans="9:9" ht="15.75" customHeight="1">
      <c r="I235" s="104"/>
    </row>
    <row r="236" spans="9:9" ht="15.75" customHeight="1">
      <c r="I236" s="104"/>
    </row>
    <row r="237" spans="9:9" ht="15.75" customHeight="1">
      <c r="I237" s="104"/>
    </row>
    <row r="238" spans="9:9" ht="15.75" customHeight="1">
      <c r="I238" s="104"/>
    </row>
    <row r="239" spans="9:9" ht="15.75" customHeight="1">
      <c r="I239" s="104"/>
    </row>
    <row r="240" spans="9:9" ht="15.75" customHeight="1">
      <c r="I240" s="104"/>
    </row>
    <row r="241" spans="9:9" ht="15.75" customHeight="1">
      <c r="I241" s="104"/>
    </row>
    <row r="242" spans="9:9" ht="15.75" customHeight="1">
      <c r="I242" s="104"/>
    </row>
    <row r="243" spans="9:9" ht="15.75" customHeight="1">
      <c r="I243" s="104"/>
    </row>
    <row r="244" spans="9:9" ht="15.75" customHeight="1">
      <c r="I244" s="104"/>
    </row>
    <row r="245" spans="9:9" ht="15.75" customHeight="1">
      <c r="I245" s="104"/>
    </row>
    <row r="246" spans="9:9" ht="15.75" customHeight="1">
      <c r="I246" s="104"/>
    </row>
    <row r="247" spans="9:9" ht="15.75" customHeight="1">
      <c r="I247" s="104"/>
    </row>
    <row r="248" spans="9:9" ht="15.75" customHeight="1">
      <c r="I248" s="104"/>
    </row>
    <row r="249" spans="9:9" ht="15.75" customHeight="1">
      <c r="I249" s="104"/>
    </row>
    <row r="250" spans="9:9" ht="15.75" customHeight="1">
      <c r="I250" s="104"/>
    </row>
    <row r="251" spans="9:9" ht="15.75" customHeight="1">
      <c r="I251" s="104"/>
    </row>
    <row r="252" spans="9:9" ht="15.75" customHeight="1">
      <c r="I252" s="104"/>
    </row>
    <row r="253" spans="9:9" ht="15.75" customHeight="1">
      <c r="I253" s="104"/>
    </row>
    <row r="254" spans="9:9" ht="15.75" customHeight="1">
      <c r="I254" s="104"/>
    </row>
    <row r="255" spans="9:9" ht="15.75" customHeight="1">
      <c r="I255" s="104"/>
    </row>
    <row r="256" spans="9:9" ht="15.75" customHeight="1">
      <c r="I256" s="104"/>
    </row>
    <row r="257" spans="9:9" ht="15.75" customHeight="1">
      <c r="I257" s="104"/>
    </row>
    <row r="258" spans="9:9" ht="15.75" customHeight="1">
      <c r="I258" s="104"/>
    </row>
    <row r="259" spans="9:9" ht="15.75" customHeight="1">
      <c r="I259" s="104"/>
    </row>
    <row r="260" spans="9:9" ht="15.75" customHeight="1">
      <c r="I260" s="104"/>
    </row>
    <row r="261" spans="9:9" ht="15.75" customHeight="1">
      <c r="I261" s="104"/>
    </row>
    <row r="262" spans="9:9" ht="15.75" customHeight="1">
      <c r="I262" s="104"/>
    </row>
    <row r="263" spans="9:9" ht="15.75" customHeight="1">
      <c r="I263" s="104"/>
    </row>
    <row r="264" spans="9:9" ht="15.75" customHeight="1">
      <c r="I264" s="104"/>
    </row>
    <row r="265" spans="9:9" ht="15.75" customHeight="1">
      <c r="I265" s="104"/>
    </row>
    <row r="266" spans="9:9" ht="15.75" customHeight="1">
      <c r="I266" s="104"/>
    </row>
    <row r="267" spans="9:9" ht="15.75" customHeight="1">
      <c r="I267" s="104"/>
    </row>
    <row r="268" spans="9:9" ht="15.75" customHeight="1">
      <c r="I268" s="104"/>
    </row>
    <row r="269" spans="9:9" ht="15.75" customHeight="1">
      <c r="I269" s="104"/>
    </row>
    <row r="270" spans="9:9" ht="15.75" customHeight="1">
      <c r="I270" s="104"/>
    </row>
    <row r="271" spans="9:9" ht="15.75" customHeight="1">
      <c r="I271" s="104"/>
    </row>
    <row r="272" spans="9:9" ht="15.75" customHeight="1">
      <c r="I272" s="104"/>
    </row>
    <row r="273" spans="9:9" ht="15.75" customHeight="1">
      <c r="I273" s="104"/>
    </row>
    <row r="274" spans="9:9" ht="15.75" customHeight="1">
      <c r="I274" s="104"/>
    </row>
    <row r="275" spans="9:9" ht="15.75" customHeight="1">
      <c r="I275" s="104"/>
    </row>
    <row r="276" spans="9:9" ht="15.75" customHeight="1">
      <c r="I276" s="104"/>
    </row>
    <row r="277" spans="9:9" ht="15.75" customHeight="1">
      <c r="I277" s="104"/>
    </row>
    <row r="278" spans="9:9" ht="15.75" customHeight="1">
      <c r="I278" s="104"/>
    </row>
    <row r="279" spans="9:9" ht="15.75" customHeight="1">
      <c r="I279" s="104"/>
    </row>
    <row r="280" spans="9:9" ht="15.75" customHeight="1">
      <c r="I280" s="104"/>
    </row>
    <row r="281" spans="9:9" ht="15.75" customHeight="1">
      <c r="I281" s="104"/>
    </row>
    <row r="282" spans="9:9" ht="15.75" customHeight="1">
      <c r="I282" s="104"/>
    </row>
    <row r="283" spans="9:9" ht="15.75" customHeight="1">
      <c r="I283" s="104"/>
    </row>
    <row r="284" spans="9:9" ht="15.75" customHeight="1">
      <c r="I284" s="104"/>
    </row>
    <row r="285" spans="9:9" ht="15.75" customHeight="1">
      <c r="I285" s="104"/>
    </row>
    <row r="286" spans="9:9" ht="15.75" customHeight="1">
      <c r="I286" s="104"/>
    </row>
    <row r="287" spans="9:9" ht="15.75" customHeight="1">
      <c r="I287" s="104"/>
    </row>
    <row r="288" spans="9:9" ht="15.75" customHeight="1">
      <c r="I288" s="104"/>
    </row>
    <row r="289" spans="9:9" ht="15.75" customHeight="1">
      <c r="I289" s="104"/>
    </row>
    <row r="290" spans="9:9" ht="15.75" customHeight="1">
      <c r="I290" s="104"/>
    </row>
    <row r="291" spans="9:9" ht="15.75" customHeight="1">
      <c r="I291" s="104"/>
    </row>
    <row r="292" spans="9:9" ht="15.75" customHeight="1">
      <c r="I292" s="104"/>
    </row>
    <row r="293" spans="9:9" ht="15.75" customHeight="1">
      <c r="I293" s="104"/>
    </row>
    <row r="294" spans="9:9" ht="15.75" customHeight="1">
      <c r="I294" s="104"/>
    </row>
    <row r="295" spans="9:9" ht="15.75" customHeight="1">
      <c r="I295" s="104"/>
    </row>
    <row r="296" spans="9:9" ht="15.75" customHeight="1">
      <c r="I296" s="104"/>
    </row>
    <row r="297" spans="9:9" ht="15.75" customHeight="1">
      <c r="I297" s="104"/>
    </row>
    <row r="298" spans="9:9" ht="15.75" customHeight="1">
      <c r="I298" s="104"/>
    </row>
    <row r="299" spans="9:9" ht="15.75" customHeight="1">
      <c r="I299" s="104"/>
    </row>
    <row r="300" spans="9:9" ht="15.75" customHeight="1">
      <c r="I300" s="104"/>
    </row>
    <row r="301" spans="9:9" ht="15.75" customHeight="1">
      <c r="I301" s="104"/>
    </row>
    <row r="302" spans="9:9" ht="15.75" customHeight="1">
      <c r="I302" s="104"/>
    </row>
    <row r="303" spans="9:9" ht="15.75" customHeight="1">
      <c r="I303" s="104"/>
    </row>
    <row r="304" spans="9:9" ht="15.75" customHeight="1">
      <c r="I304" s="104"/>
    </row>
    <row r="305" spans="9:9" ht="15.75" customHeight="1">
      <c r="I305" s="104"/>
    </row>
    <row r="306" spans="9:9" ht="15.75" customHeight="1">
      <c r="I306" s="104"/>
    </row>
    <row r="307" spans="9:9" ht="15.75" customHeight="1">
      <c r="I307" s="104"/>
    </row>
    <row r="308" spans="9:9" ht="15.75" customHeight="1">
      <c r="I308" s="104"/>
    </row>
    <row r="309" spans="9:9" ht="15.75" customHeight="1">
      <c r="I309" s="104"/>
    </row>
    <row r="310" spans="9:9" ht="15.75" customHeight="1">
      <c r="I310" s="104"/>
    </row>
    <row r="311" spans="9:9" ht="15.75" customHeight="1">
      <c r="I311" s="104"/>
    </row>
    <row r="312" spans="9:9" ht="15.75" customHeight="1">
      <c r="I312" s="104"/>
    </row>
    <row r="313" spans="9:9" ht="15.75" customHeight="1">
      <c r="I313" s="104"/>
    </row>
    <row r="314" spans="9:9" ht="15.75" customHeight="1">
      <c r="I314" s="104"/>
    </row>
    <row r="315" spans="9:9" ht="15.75" customHeight="1">
      <c r="I315" s="104"/>
    </row>
    <row r="316" spans="9:9" ht="15.75" customHeight="1">
      <c r="I316" s="104"/>
    </row>
    <row r="317" spans="9:9" ht="15.75" customHeight="1">
      <c r="I317" s="104"/>
    </row>
    <row r="318" spans="9:9" ht="15.75" customHeight="1">
      <c r="I318" s="104"/>
    </row>
    <row r="319" spans="9:9" ht="15.75" customHeight="1">
      <c r="I319" s="104"/>
    </row>
    <row r="320" spans="9:9" ht="15.75" customHeight="1">
      <c r="I320" s="104"/>
    </row>
    <row r="321" spans="9:9" ht="15.75" customHeight="1">
      <c r="I321" s="104"/>
    </row>
    <row r="322" spans="9:9" ht="15.75" customHeight="1">
      <c r="I322" s="104"/>
    </row>
    <row r="323" spans="9:9" ht="15.75" customHeight="1">
      <c r="I323" s="104"/>
    </row>
    <row r="324" spans="9:9" ht="15.75" customHeight="1">
      <c r="I324" s="104"/>
    </row>
    <row r="325" spans="9:9" ht="15.75" customHeight="1">
      <c r="I325" s="104"/>
    </row>
    <row r="326" spans="9:9" ht="15.75" customHeight="1">
      <c r="I326" s="104"/>
    </row>
    <row r="327" spans="9:9" ht="15.75" customHeight="1">
      <c r="I327" s="104"/>
    </row>
    <row r="328" spans="9:9" ht="15.75" customHeight="1">
      <c r="I328" s="104"/>
    </row>
    <row r="329" spans="9:9" ht="15.75" customHeight="1">
      <c r="I329" s="104"/>
    </row>
    <row r="330" spans="9:9" ht="15.75" customHeight="1">
      <c r="I330" s="104"/>
    </row>
    <row r="331" spans="9:9" ht="15.75" customHeight="1">
      <c r="I331" s="104"/>
    </row>
    <row r="332" spans="9:9" ht="15.75" customHeight="1">
      <c r="I332" s="104"/>
    </row>
    <row r="333" spans="9:9" ht="15.75" customHeight="1">
      <c r="I333" s="104"/>
    </row>
    <row r="334" spans="9:9" ht="15.75" customHeight="1">
      <c r="I334" s="104"/>
    </row>
    <row r="335" spans="9:9" ht="15.75" customHeight="1">
      <c r="I335" s="104"/>
    </row>
    <row r="336" spans="9:9" ht="15.75" customHeight="1">
      <c r="I336" s="104"/>
    </row>
    <row r="337" spans="9:9" ht="15.75" customHeight="1">
      <c r="I337" s="104"/>
    </row>
    <row r="338" spans="9:9" ht="15.75" customHeight="1">
      <c r="I338" s="104"/>
    </row>
    <row r="339" spans="9:9" ht="15.75" customHeight="1">
      <c r="I339" s="104"/>
    </row>
    <row r="340" spans="9:9" ht="15.75" customHeight="1">
      <c r="I340" s="104"/>
    </row>
    <row r="341" spans="9:9" ht="15.75" customHeight="1">
      <c r="I341" s="104"/>
    </row>
    <row r="342" spans="9:9" ht="15.75" customHeight="1">
      <c r="I342" s="104"/>
    </row>
    <row r="343" spans="9:9" ht="15.75" customHeight="1">
      <c r="I343" s="104"/>
    </row>
    <row r="344" spans="9:9" ht="15.75" customHeight="1">
      <c r="I344" s="104"/>
    </row>
    <row r="345" spans="9:9" ht="15.75" customHeight="1">
      <c r="I345" s="104"/>
    </row>
    <row r="346" spans="9:9" ht="15.75" customHeight="1">
      <c r="I346" s="104"/>
    </row>
    <row r="347" spans="9:9" ht="15.75" customHeight="1">
      <c r="I347" s="104"/>
    </row>
    <row r="348" spans="9:9" ht="15.75" customHeight="1">
      <c r="I348" s="104"/>
    </row>
    <row r="349" spans="9:9" ht="15.75" customHeight="1">
      <c r="I349" s="104"/>
    </row>
    <row r="350" spans="9:9" ht="15.75" customHeight="1">
      <c r="I350" s="104"/>
    </row>
    <row r="351" spans="9:9" ht="15.75" customHeight="1">
      <c r="I351" s="104"/>
    </row>
    <row r="352" spans="9:9" ht="15.75" customHeight="1">
      <c r="I352" s="104"/>
    </row>
    <row r="353" spans="9:9" ht="15.75" customHeight="1">
      <c r="I353" s="104"/>
    </row>
    <row r="354" spans="9:9" ht="15.75" customHeight="1">
      <c r="I354" s="104"/>
    </row>
    <row r="355" spans="9:9" ht="15.75" customHeight="1">
      <c r="I355" s="104"/>
    </row>
    <row r="356" spans="9:9" ht="15.75" customHeight="1">
      <c r="I356" s="104"/>
    </row>
    <row r="357" spans="9:9" ht="15.75" customHeight="1">
      <c r="I357" s="104"/>
    </row>
    <row r="358" spans="9:9" ht="15.75" customHeight="1">
      <c r="I358" s="104"/>
    </row>
    <row r="359" spans="9:9" ht="15.75" customHeight="1">
      <c r="I359" s="104"/>
    </row>
    <row r="360" spans="9:9" ht="15.75" customHeight="1">
      <c r="I360" s="104"/>
    </row>
    <row r="361" spans="9:9" ht="15.75" customHeight="1">
      <c r="I361" s="104"/>
    </row>
    <row r="362" spans="9:9" ht="15.75" customHeight="1">
      <c r="I362" s="104"/>
    </row>
    <row r="363" spans="9:9" ht="15.75" customHeight="1">
      <c r="I363" s="104"/>
    </row>
    <row r="364" spans="9:9" ht="15.75" customHeight="1">
      <c r="I364" s="104"/>
    </row>
    <row r="365" spans="9:9" ht="15.75" customHeight="1">
      <c r="I365" s="104"/>
    </row>
    <row r="366" spans="9:9" ht="15.75" customHeight="1">
      <c r="I366" s="104"/>
    </row>
    <row r="367" spans="9:9" ht="15.75" customHeight="1">
      <c r="I367" s="104"/>
    </row>
    <row r="368" spans="9:9" ht="15.75" customHeight="1">
      <c r="I368" s="104"/>
    </row>
    <row r="369" spans="9:9" ht="15.75" customHeight="1">
      <c r="I369" s="104"/>
    </row>
    <row r="370" spans="9:9" ht="15.75" customHeight="1">
      <c r="I370" s="104"/>
    </row>
    <row r="371" spans="9:9" ht="15.75" customHeight="1">
      <c r="I371" s="104"/>
    </row>
    <row r="372" spans="9:9" ht="15.75" customHeight="1">
      <c r="I372" s="104"/>
    </row>
    <row r="373" spans="9:9" ht="15.75" customHeight="1">
      <c r="I373" s="104"/>
    </row>
    <row r="374" spans="9:9" ht="15.75" customHeight="1">
      <c r="I374" s="104"/>
    </row>
    <row r="375" spans="9:9" ht="15.75" customHeight="1">
      <c r="I375" s="104"/>
    </row>
    <row r="376" spans="9:9" ht="15.75" customHeight="1">
      <c r="I376" s="104"/>
    </row>
    <row r="377" spans="9:9" ht="15.75" customHeight="1">
      <c r="I377" s="104"/>
    </row>
    <row r="378" spans="9:9" ht="15.75" customHeight="1">
      <c r="I378" s="104"/>
    </row>
    <row r="379" spans="9:9" ht="15.75" customHeight="1">
      <c r="I379" s="104"/>
    </row>
    <row r="380" spans="9:9" ht="15.75" customHeight="1">
      <c r="I380" s="104"/>
    </row>
    <row r="381" spans="9:9" ht="15.75" customHeight="1">
      <c r="I381" s="104"/>
    </row>
    <row r="382" spans="9:9" ht="15.75" customHeight="1">
      <c r="I382" s="104"/>
    </row>
    <row r="383" spans="9:9" ht="15.75" customHeight="1">
      <c r="I383" s="104"/>
    </row>
    <row r="384" spans="9:9" ht="15.75" customHeight="1">
      <c r="I384" s="104"/>
    </row>
    <row r="385" spans="9:9" ht="15.75" customHeight="1">
      <c r="I385" s="104"/>
    </row>
    <row r="386" spans="9:9" ht="15.75" customHeight="1">
      <c r="I386" s="104"/>
    </row>
    <row r="387" spans="9:9" ht="15.75" customHeight="1">
      <c r="I387" s="104"/>
    </row>
    <row r="388" spans="9:9" ht="15.75" customHeight="1">
      <c r="I388" s="104"/>
    </row>
    <row r="389" spans="9:9" ht="15.75" customHeight="1">
      <c r="I389" s="104"/>
    </row>
    <row r="390" spans="9:9" ht="15.75" customHeight="1">
      <c r="I390" s="104"/>
    </row>
    <row r="391" spans="9:9" ht="15.75" customHeight="1">
      <c r="I391" s="104"/>
    </row>
    <row r="392" spans="9:9" ht="15.75" customHeight="1">
      <c r="I392" s="104"/>
    </row>
    <row r="393" spans="9:9" ht="15.75" customHeight="1">
      <c r="I393" s="104"/>
    </row>
    <row r="394" spans="9:9" ht="15.75" customHeight="1">
      <c r="I394" s="104"/>
    </row>
    <row r="395" spans="9:9" ht="15.75" customHeight="1">
      <c r="I395" s="104"/>
    </row>
    <row r="396" spans="9:9" ht="15.75" customHeight="1">
      <c r="I396" s="104"/>
    </row>
    <row r="397" spans="9:9" ht="15.75" customHeight="1">
      <c r="I397" s="104"/>
    </row>
    <row r="398" spans="9:9" ht="15.75" customHeight="1">
      <c r="I398" s="104"/>
    </row>
    <row r="399" spans="9:9" ht="15.75" customHeight="1">
      <c r="I399" s="104"/>
    </row>
    <row r="400" spans="9:9" ht="15.75" customHeight="1">
      <c r="I400" s="104"/>
    </row>
    <row r="401" spans="9:9" ht="15.75" customHeight="1">
      <c r="I401" s="104"/>
    </row>
    <row r="402" spans="9:9" ht="15.75" customHeight="1">
      <c r="I402" s="104"/>
    </row>
    <row r="403" spans="9:9" ht="15.75" customHeight="1">
      <c r="I403" s="104"/>
    </row>
    <row r="404" spans="9:9" ht="15.75" customHeight="1">
      <c r="I404" s="104"/>
    </row>
    <row r="405" spans="9:9" ht="15.75" customHeight="1">
      <c r="I405" s="104"/>
    </row>
    <row r="406" spans="9:9" ht="15.75" customHeight="1">
      <c r="I406" s="104"/>
    </row>
    <row r="407" spans="9:9" ht="15.75" customHeight="1">
      <c r="I407" s="104"/>
    </row>
    <row r="408" spans="9:9" ht="15.75" customHeight="1">
      <c r="I408" s="104"/>
    </row>
    <row r="409" spans="9:9" ht="15.75" customHeight="1">
      <c r="I409" s="104"/>
    </row>
    <row r="410" spans="9:9" ht="15.75" customHeight="1">
      <c r="I410" s="104"/>
    </row>
    <row r="411" spans="9:9" ht="15.75" customHeight="1">
      <c r="I411" s="104"/>
    </row>
    <row r="412" spans="9:9" ht="15.75" customHeight="1">
      <c r="I412" s="104"/>
    </row>
    <row r="413" spans="9:9" ht="15.75" customHeight="1">
      <c r="I413" s="104"/>
    </row>
    <row r="414" spans="9:9" ht="15.75" customHeight="1">
      <c r="I414" s="104"/>
    </row>
    <row r="415" spans="9:9" ht="15.75" customHeight="1">
      <c r="I415" s="104"/>
    </row>
    <row r="416" spans="9:9" ht="15.75" customHeight="1">
      <c r="I416" s="104"/>
    </row>
    <row r="417" spans="9:9" ht="15.75" customHeight="1">
      <c r="I417" s="104"/>
    </row>
    <row r="418" spans="9:9" ht="15.75" customHeight="1">
      <c r="I418" s="104"/>
    </row>
    <row r="419" spans="9:9" ht="15.75" customHeight="1">
      <c r="I419" s="104"/>
    </row>
    <row r="420" spans="9:9" ht="15.75" customHeight="1">
      <c r="I420" s="104"/>
    </row>
    <row r="421" spans="9:9" ht="15.75" customHeight="1">
      <c r="I421" s="104"/>
    </row>
    <row r="422" spans="9:9" ht="15.75" customHeight="1">
      <c r="I422" s="104"/>
    </row>
    <row r="423" spans="9:9" ht="15.75" customHeight="1">
      <c r="I423" s="104"/>
    </row>
    <row r="424" spans="9:9" ht="15.75" customHeight="1">
      <c r="I424" s="104"/>
    </row>
    <row r="425" spans="9:9" ht="15.75" customHeight="1">
      <c r="I425" s="104"/>
    </row>
    <row r="426" spans="9:9" ht="15.75" customHeight="1">
      <c r="I426" s="104"/>
    </row>
    <row r="427" spans="9:9" ht="15.75" customHeight="1">
      <c r="I427" s="104"/>
    </row>
    <row r="428" spans="9:9" ht="15.75" customHeight="1">
      <c r="I428" s="104"/>
    </row>
    <row r="429" spans="9:9" ht="15.75" customHeight="1">
      <c r="I429" s="104"/>
    </row>
    <row r="430" spans="9:9" ht="15.75" customHeight="1">
      <c r="I430" s="104"/>
    </row>
    <row r="431" spans="9:9" ht="15.75" customHeight="1">
      <c r="I431" s="104"/>
    </row>
    <row r="432" spans="9:9" ht="15.75" customHeight="1">
      <c r="I432" s="104"/>
    </row>
    <row r="433" spans="9:9" ht="15.75" customHeight="1">
      <c r="I433" s="104"/>
    </row>
    <row r="434" spans="9:9" ht="15.75" customHeight="1">
      <c r="I434" s="104"/>
    </row>
    <row r="435" spans="9:9" ht="15.75" customHeight="1">
      <c r="I435" s="104"/>
    </row>
    <row r="436" spans="9:9" ht="15.75" customHeight="1">
      <c r="I436" s="104"/>
    </row>
    <row r="437" spans="9:9" ht="15.75" customHeight="1">
      <c r="I437" s="104"/>
    </row>
    <row r="438" spans="9:9" ht="15.75" customHeight="1">
      <c r="I438" s="104"/>
    </row>
    <row r="439" spans="9:9" ht="15.75" customHeight="1">
      <c r="I439" s="104"/>
    </row>
    <row r="440" spans="9:9" ht="15.75" customHeight="1">
      <c r="I440" s="104"/>
    </row>
    <row r="441" spans="9:9" ht="15.75" customHeight="1">
      <c r="I441" s="104"/>
    </row>
    <row r="442" spans="9:9" ht="15.75" customHeight="1">
      <c r="I442" s="104"/>
    </row>
    <row r="443" spans="9:9" ht="15.75" customHeight="1">
      <c r="I443" s="104"/>
    </row>
    <row r="444" spans="9:9" ht="15.75" customHeight="1">
      <c r="I444" s="104"/>
    </row>
    <row r="445" spans="9:9" ht="15.75" customHeight="1">
      <c r="I445" s="104"/>
    </row>
    <row r="446" spans="9:9" ht="15.75" customHeight="1">
      <c r="I446" s="104"/>
    </row>
    <row r="447" spans="9:9" ht="15.75" customHeight="1">
      <c r="I447" s="104"/>
    </row>
    <row r="448" spans="9:9" ht="15.75" customHeight="1">
      <c r="I448" s="104"/>
    </row>
    <row r="449" spans="9:9" ht="15.75" customHeight="1">
      <c r="I449" s="104"/>
    </row>
    <row r="450" spans="9:9" ht="15.75" customHeight="1">
      <c r="I450" s="104"/>
    </row>
    <row r="451" spans="9:9" ht="15.75" customHeight="1">
      <c r="I451" s="104"/>
    </row>
    <row r="452" spans="9:9" ht="15.75" customHeight="1">
      <c r="I452" s="104"/>
    </row>
    <row r="453" spans="9:9" ht="15.75" customHeight="1">
      <c r="I453" s="104"/>
    </row>
    <row r="454" spans="9:9" ht="15.75" customHeight="1">
      <c r="I454" s="104"/>
    </row>
    <row r="455" spans="9:9" ht="15.75" customHeight="1">
      <c r="I455" s="104"/>
    </row>
    <row r="456" spans="9:9" ht="15.75" customHeight="1">
      <c r="I456" s="104"/>
    </row>
    <row r="457" spans="9:9" ht="15.75" customHeight="1">
      <c r="I457" s="104"/>
    </row>
    <row r="458" spans="9:9" ht="15.75" customHeight="1">
      <c r="I458" s="104"/>
    </row>
    <row r="459" spans="9:9" ht="15.75" customHeight="1">
      <c r="I459" s="104"/>
    </row>
    <row r="460" spans="9:9" ht="15.75" customHeight="1">
      <c r="I460" s="104"/>
    </row>
    <row r="461" spans="9:9" ht="15.75" customHeight="1">
      <c r="I461" s="104"/>
    </row>
    <row r="462" spans="9:9" ht="15.75" customHeight="1">
      <c r="I462" s="104"/>
    </row>
    <row r="463" spans="9:9" ht="15.75" customHeight="1">
      <c r="I463" s="104"/>
    </row>
    <row r="464" spans="9:9" ht="15.75" customHeight="1">
      <c r="I464" s="104"/>
    </row>
    <row r="465" spans="9:9" ht="15.75" customHeight="1">
      <c r="I465" s="104"/>
    </row>
    <row r="466" spans="9:9" ht="15.75" customHeight="1">
      <c r="I466" s="104"/>
    </row>
    <row r="467" spans="9:9" ht="15.75" customHeight="1">
      <c r="I467" s="104"/>
    </row>
    <row r="468" spans="9:9" ht="15.75" customHeight="1">
      <c r="I468" s="104"/>
    </row>
    <row r="469" spans="9:9" ht="15.75" customHeight="1">
      <c r="I469" s="104"/>
    </row>
    <row r="470" spans="9:9" ht="15.75" customHeight="1">
      <c r="I470" s="104"/>
    </row>
    <row r="471" spans="9:9" ht="15.75" customHeight="1">
      <c r="I471" s="104"/>
    </row>
    <row r="472" spans="9:9" ht="15.75" customHeight="1">
      <c r="I472" s="104"/>
    </row>
    <row r="473" spans="9:9" ht="15.75" customHeight="1">
      <c r="I473" s="104"/>
    </row>
    <row r="474" spans="9:9" ht="15.75" customHeight="1">
      <c r="I474" s="104"/>
    </row>
    <row r="475" spans="9:9" ht="15.75" customHeight="1">
      <c r="I475" s="104"/>
    </row>
    <row r="476" spans="9:9" ht="15.75" customHeight="1">
      <c r="I476" s="104"/>
    </row>
    <row r="477" spans="9:9" ht="15.75" customHeight="1">
      <c r="I477" s="104"/>
    </row>
    <row r="478" spans="9:9" ht="15.75" customHeight="1">
      <c r="I478" s="104"/>
    </row>
    <row r="479" spans="9:9" ht="15.75" customHeight="1">
      <c r="I479" s="104"/>
    </row>
    <row r="480" spans="9:9" ht="15.75" customHeight="1">
      <c r="I480" s="104"/>
    </row>
    <row r="481" spans="9:9" ht="15.75" customHeight="1">
      <c r="I481" s="104"/>
    </row>
    <row r="482" spans="9:9" ht="15.75" customHeight="1">
      <c r="I482" s="104"/>
    </row>
    <row r="483" spans="9:9" ht="15.75" customHeight="1">
      <c r="I483" s="104"/>
    </row>
    <row r="484" spans="9:9" ht="15.75" customHeight="1">
      <c r="I484" s="104"/>
    </row>
    <row r="485" spans="9:9" ht="15.75" customHeight="1">
      <c r="I485" s="104"/>
    </row>
    <row r="486" spans="9:9" ht="15.75" customHeight="1">
      <c r="I486" s="104"/>
    </row>
    <row r="487" spans="9:9" ht="15.75" customHeight="1">
      <c r="I487" s="104"/>
    </row>
    <row r="488" spans="9:9" ht="15.75" customHeight="1">
      <c r="I488" s="104"/>
    </row>
    <row r="489" spans="9:9" ht="15.75" customHeight="1">
      <c r="I489" s="104"/>
    </row>
    <row r="490" spans="9:9" ht="15.75" customHeight="1">
      <c r="I490" s="104"/>
    </row>
    <row r="491" spans="9:9" ht="15.75" customHeight="1">
      <c r="I491" s="104"/>
    </row>
    <row r="492" spans="9:9" ht="15.75" customHeight="1">
      <c r="I492" s="104"/>
    </row>
    <row r="493" spans="9:9" ht="15.75" customHeight="1">
      <c r="I493" s="104"/>
    </row>
    <row r="494" spans="9:9" ht="15.75" customHeight="1">
      <c r="I494" s="104"/>
    </row>
    <row r="495" spans="9:9" ht="15.75" customHeight="1">
      <c r="I495" s="104"/>
    </row>
    <row r="496" spans="9:9" ht="15.75" customHeight="1">
      <c r="I496" s="104"/>
    </row>
    <row r="497" spans="9:9" ht="15.75" customHeight="1">
      <c r="I497" s="104"/>
    </row>
    <row r="498" spans="9:9" ht="15.75" customHeight="1">
      <c r="I498" s="104"/>
    </row>
    <row r="499" spans="9:9" ht="15.75" customHeight="1">
      <c r="I499" s="104"/>
    </row>
    <row r="500" spans="9:9" ht="15.75" customHeight="1">
      <c r="I500" s="104"/>
    </row>
    <row r="501" spans="9:9" ht="15.75" customHeight="1">
      <c r="I501" s="104"/>
    </row>
    <row r="502" spans="9:9" ht="15.75" customHeight="1">
      <c r="I502" s="104"/>
    </row>
    <row r="503" spans="9:9" ht="15.75" customHeight="1">
      <c r="I503" s="104"/>
    </row>
    <row r="504" spans="9:9" ht="15.75" customHeight="1">
      <c r="I504" s="104"/>
    </row>
    <row r="505" spans="9:9" ht="15.75" customHeight="1">
      <c r="I505" s="104"/>
    </row>
    <row r="506" spans="9:9" ht="15.75" customHeight="1">
      <c r="I506" s="104"/>
    </row>
    <row r="507" spans="9:9" ht="15.75" customHeight="1">
      <c r="I507" s="104"/>
    </row>
    <row r="508" spans="9:9" ht="15.75" customHeight="1">
      <c r="I508" s="104"/>
    </row>
    <row r="509" spans="9:9" ht="15.75" customHeight="1">
      <c r="I509" s="104"/>
    </row>
    <row r="510" spans="9:9" ht="15.75" customHeight="1">
      <c r="I510" s="104"/>
    </row>
    <row r="511" spans="9:9" ht="15.75" customHeight="1">
      <c r="I511" s="104"/>
    </row>
    <row r="512" spans="9:9" ht="15.75" customHeight="1">
      <c r="I512" s="104"/>
    </row>
    <row r="513" spans="9:9" ht="15.75" customHeight="1">
      <c r="I513" s="104"/>
    </row>
    <row r="514" spans="9:9" ht="15.75" customHeight="1">
      <c r="I514" s="104"/>
    </row>
    <row r="515" spans="9:9" ht="15.75" customHeight="1">
      <c r="I515" s="104"/>
    </row>
    <row r="516" spans="9:9" ht="15.75" customHeight="1">
      <c r="I516" s="104"/>
    </row>
    <row r="517" spans="9:9" ht="15.75" customHeight="1">
      <c r="I517" s="104"/>
    </row>
    <row r="518" spans="9:9" ht="15.75" customHeight="1">
      <c r="I518" s="104"/>
    </row>
    <row r="519" spans="9:9" ht="15.75" customHeight="1">
      <c r="I519" s="104"/>
    </row>
    <row r="520" spans="9:9" ht="15.75" customHeight="1">
      <c r="I520" s="104"/>
    </row>
    <row r="521" spans="9:9" ht="15.75" customHeight="1">
      <c r="I521" s="104"/>
    </row>
    <row r="522" spans="9:9" ht="15.75" customHeight="1">
      <c r="I522" s="104"/>
    </row>
    <row r="523" spans="9:9" ht="15.75" customHeight="1">
      <c r="I523" s="104"/>
    </row>
    <row r="524" spans="9:9" ht="15.75" customHeight="1">
      <c r="I524" s="104"/>
    </row>
    <row r="525" spans="9:9" ht="15.75" customHeight="1">
      <c r="I525" s="104"/>
    </row>
    <row r="526" spans="9:9" ht="15.75" customHeight="1">
      <c r="I526" s="104"/>
    </row>
    <row r="527" spans="9:9" ht="15.75" customHeight="1">
      <c r="I527" s="104"/>
    </row>
    <row r="528" spans="9:9" ht="15.75" customHeight="1">
      <c r="I528" s="104"/>
    </row>
    <row r="529" spans="9:9" ht="15.75" customHeight="1">
      <c r="I529" s="104"/>
    </row>
    <row r="530" spans="9:9" ht="15.75" customHeight="1">
      <c r="I530" s="104"/>
    </row>
    <row r="531" spans="9:9" ht="15.75" customHeight="1">
      <c r="I531" s="104"/>
    </row>
    <row r="532" spans="9:9" ht="15.75" customHeight="1">
      <c r="I532" s="104"/>
    </row>
    <row r="533" spans="9:9" ht="15.75" customHeight="1">
      <c r="I533" s="104"/>
    </row>
    <row r="534" spans="9:9" ht="15.75" customHeight="1">
      <c r="I534" s="104"/>
    </row>
    <row r="535" spans="9:9" ht="15.75" customHeight="1">
      <c r="I535" s="104"/>
    </row>
    <row r="536" spans="9:9" ht="15.75" customHeight="1">
      <c r="I536" s="104"/>
    </row>
    <row r="537" spans="9:9" ht="15.75" customHeight="1">
      <c r="I537" s="104"/>
    </row>
    <row r="538" spans="9:9" ht="15.75" customHeight="1">
      <c r="I538" s="104"/>
    </row>
    <row r="539" spans="9:9" ht="15.75" customHeight="1">
      <c r="I539" s="104"/>
    </row>
    <row r="540" spans="9:9" ht="15.75" customHeight="1">
      <c r="I540" s="104"/>
    </row>
    <row r="541" spans="9:9" ht="15.75" customHeight="1">
      <c r="I541" s="104"/>
    </row>
    <row r="542" spans="9:9" ht="15.75" customHeight="1">
      <c r="I542" s="104"/>
    </row>
    <row r="543" spans="9:9" ht="15.75" customHeight="1">
      <c r="I543" s="104"/>
    </row>
    <row r="544" spans="9:9" ht="15.75" customHeight="1">
      <c r="I544" s="104"/>
    </row>
    <row r="545" spans="9:9" ht="15.75" customHeight="1">
      <c r="I545" s="104"/>
    </row>
    <row r="546" spans="9:9" ht="15.75" customHeight="1">
      <c r="I546" s="104"/>
    </row>
    <row r="547" spans="9:9" ht="15.75" customHeight="1">
      <c r="I547" s="104"/>
    </row>
    <row r="548" spans="9:9" ht="15.75" customHeight="1">
      <c r="I548" s="104"/>
    </row>
    <row r="549" spans="9:9" ht="15.75" customHeight="1">
      <c r="I549" s="104"/>
    </row>
    <row r="550" spans="9:9" ht="15.75" customHeight="1">
      <c r="I550" s="104"/>
    </row>
    <row r="551" spans="9:9" ht="15.75" customHeight="1">
      <c r="I551" s="104"/>
    </row>
    <row r="552" spans="9:9" ht="15.75" customHeight="1">
      <c r="I552" s="104"/>
    </row>
    <row r="553" spans="9:9" ht="15.75" customHeight="1">
      <c r="I553" s="104"/>
    </row>
    <row r="554" spans="9:9" ht="15.75" customHeight="1">
      <c r="I554" s="104"/>
    </row>
    <row r="555" spans="9:9" ht="15.75" customHeight="1">
      <c r="I555" s="104"/>
    </row>
    <row r="556" spans="9:9" ht="15.75" customHeight="1">
      <c r="I556" s="104"/>
    </row>
    <row r="557" spans="9:9" ht="15.75" customHeight="1">
      <c r="I557" s="104"/>
    </row>
    <row r="558" spans="9:9" ht="15.75" customHeight="1">
      <c r="I558" s="104"/>
    </row>
    <row r="559" spans="9:9" ht="15.75" customHeight="1">
      <c r="I559" s="104"/>
    </row>
    <row r="560" spans="9:9" ht="15.75" customHeight="1">
      <c r="I560" s="104"/>
    </row>
    <row r="561" spans="9:9" ht="15.75" customHeight="1">
      <c r="I561" s="104"/>
    </row>
    <row r="562" spans="9:9" ht="15.75" customHeight="1">
      <c r="I562" s="104"/>
    </row>
    <row r="563" spans="9:9" ht="15.75" customHeight="1">
      <c r="I563" s="104"/>
    </row>
    <row r="564" spans="9:9" ht="15.75" customHeight="1">
      <c r="I564" s="104"/>
    </row>
    <row r="565" spans="9:9" ht="15.75" customHeight="1">
      <c r="I565" s="104"/>
    </row>
    <row r="566" spans="9:9" ht="15.75" customHeight="1">
      <c r="I566" s="104"/>
    </row>
    <row r="567" spans="9:9" ht="15.75" customHeight="1">
      <c r="I567" s="104"/>
    </row>
    <row r="568" spans="9:9" ht="15.75" customHeight="1">
      <c r="I568" s="104"/>
    </row>
    <row r="569" spans="9:9" ht="15.75" customHeight="1">
      <c r="I569" s="104"/>
    </row>
    <row r="570" spans="9:9" ht="15.75" customHeight="1">
      <c r="I570" s="104"/>
    </row>
    <row r="571" spans="9:9" ht="15.75" customHeight="1">
      <c r="I571" s="104"/>
    </row>
    <row r="572" spans="9:9" ht="15.75" customHeight="1">
      <c r="I572" s="104"/>
    </row>
    <row r="573" spans="9:9" ht="15.75" customHeight="1">
      <c r="I573" s="104"/>
    </row>
    <row r="574" spans="9:9" ht="15.75" customHeight="1">
      <c r="I574" s="104"/>
    </row>
    <row r="575" spans="9:9" ht="15.75" customHeight="1">
      <c r="I575" s="104"/>
    </row>
    <row r="576" spans="9:9" ht="15.75" customHeight="1">
      <c r="I576" s="104"/>
    </row>
    <row r="577" spans="9:9" ht="15.75" customHeight="1">
      <c r="I577" s="104"/>
    </row>
    <row r="578" spans="9:9" ht="15.75" customHeight="1">
      <c r="I578" s="104"/>
    </row>
    <row r="579" spans="9:9" ht="15.75" customHeight="1">
      <c r="I579" s="104"/>
    </row>
    <row r="580" spans="9:9" ht="15.75" customHeight="1">
      <c r="I580" s="104"/>
    </row>
    <row r="581" spans="9:9" ht="15.75" customHeight="1">
      <c r="I581" s="104"/>
    </row>
    <row r="582" spans="9:9" ht="15.75" customHeight="1">
      <c r="I582" s="104"/>
    </row>
    <row r="583" spans="9:9" ht="15.75" customHeight="1">
      <c r="I583" s="104"/>
    </row>
    <row r="584" spans="9:9" ht="15.75" customHeight="1">
      <c r="I584" s="104"/>
    </row>
    <row r="585" spans="9:9" ht="15.75" customHeight="1">
      <c r="I585" s="104"/>
    </row>
    <row r="586" spans="9:9" ht="15.75" customHeight="1">
      <c r="I586" s="104"/>
    </row>
    <row r="587" spans="9:9" ht="15.75" customHeight="1">
      <c r="I587" s="104"/>
    </row>
    <row r="588" spans="9:9" ht="15.75" customHeight="1">
      <c r="I588" s="104"/>
    </row>
    <row r="589" spans="9:9" ht="15.75" customHeight="1">
      <c r="I589" s="104"/>
    </row>
    <row r="590" spans="9:9" ht="15.75" customHeight="1">
      <c r="I590" s="104"/>
    </row>
    <row r="591" spans="9:9" ht="15.75" customHeight="1">
      <c r="I591" s="104"/>
    </row>
    <row r="592" spans="9:9" ht="15.75" customHeight="1">
      <c r="I592" s="104"/>
    </row>
    <row r="593" spans="9:9" ht="15.75" customHeight="1">
      <c r="I593" s="104"/>
    </row>
    <row r="594" spans="9:9" ht="15.75" customHeight="1">
      <c r="I594" s="104"/>
    </row>
    <row r="595" spans="9:9" ht="15.75" customHeight="1">
      <c r="I595" s="104"/>
    </row>
    <row r="596" spans="9:9" ht="15.75" customHeight="1">
      <c r="I596" s="104"/>
    </row>
    <row r="597" spans="9:9" ht="15.75" customHeight="1">
      <c r="I597" s="104"/>
    </row>
    <row r="598" spans="9:9" ht="15.75" customHeight="1">
      <c r="I598" s="104"/>
    </row>
    <row r="599" spans="9:9" ht="15.75" customHeight="1">
      <c r="I599" s="104"/>
    </row>
    <row r="600" spans="9:9" ht="15.75" customHeight="1">
      <c r="I600" s="104"/>
    </row>
    <row r="601" spans="9:9" ht="15.75" customHeight="1">
      <c r="I601" s="104"/>
    </row>
    <row r="602" spans="9:9" ht="15.75" customHeight="1">
      <c r="I602" s="104"/>
    </row>
    <row r="603" spans="9:9" ht="15.75" customHeight="1">
      <c r="I603" s="104"/>
    </row>
    <row r="604" spans="9:9" ht="15.75" customHeight="1">
      <c r="I604" s="104"/>
    </row>
    <row r="605" spans="9:9" ht="15.75" customHeight="1">
      <c r="I605" s="104"/>
    </row>
    <row r="606" spans="9:9" ht="15.75" customHeight="1">
      <c r="I606" s="104"/>
    </row>
    <row r="607" spans="9:9" ht="15.75" customHeight="1">
      <c r="I607" s="104"/>
    </row>
    <row r="608" spans="9:9" ht="15.75" customHeight="1">
      <c r="I608" s="104"/>
    </row>
    <row r="609" spans="9:9" ht="15.75" customHeight="1">
      <c r="I609" s="104"/>
    </row>
    <row r="610" spans="9:9" ht="15.75" customHeight="1">
      <c r="I610" s="104"/>
    </row>
    <row r="611" spans="9:9" ht="15.75" customHeight="1">
      <c r="I611" s="104"/>
    </row>
    <row r="612" spans="9:9" ht="15.75" customHeight="1">
      <c r="I612" s="104"/>
    </row>
    <row r="613" spans="9:9" ht="15.75" customHeight="1">
      <c r="I613" s="104"/>
    </row>
    <row r="614" spans="9:9" ht="15.75" customHeight="1">
      <c r="I614" s="104"/>
    </row>
    <row r="615" spans="9:9" ht="15.75" customHeight="1">
      <c r="I615" s="104"/>
    </row>
    <row r="616" spans="9:9" ht="15.75" customHeight="1">
      <c r="I616" s="104"/>
    </row>
    <row r="617" spans="9:9" ht="15.75" customHeight="1">
      <c r="I617" s="104"/>
    </row>
    <row r="618" spans="9:9" ht="15.75" customHeight="1">
      <c r="I618" s="104"/>
    </row>
    <row r="619" spans="9:9" ht="15.75" customHeight="1">
      <c r="I619" s="104"/>
    </row>
    <row r="620" spans="9:9" ht="15.75" customHeight="1">
      <c r="I620" s="104"/>
    </row>
    <row r="621" spans="9:9" ht="15.75" customHeight="1">
      <c r="I621" s="104"/>
    </row>
    <row r="622" spans="9:9" ht="15.75" customHeight="1">
      <c r="I622" s="104"/>
    </row>
    <row r="623" spans="9:9" ht="15.75" customHeight="1">
      <c r="I623" s="104"/>
    </row>
    <row r="624" spans="9:9" ht="15.75" customHeight="1">
      <c r="I624" s="104"/>
    </row>
    <row r="625" spans="9:9" ht="15.75" customHeight="1">
      <c r="I625" s="104"/>
    </row>
    <row r="626" spans="9:9" ht="15.75" customHeight="1">
      <c r="I626" s="104"/>
    </row>
    <row r="627" spans="9:9" ht="15.75" customHeight="1">
      <c r="I627" s="104"/>
    </row>
    <row r="628" spans="9:9" ht="15.75" customHeight="1">
      <c r="I628" s="104"/>
    </row>
    <row r="629" spans="9:9" ht="15.75" customHeight="1">
      <c r="I629" s="104"/>
    </row>
    <row r="630" spans="9:9" ht="15.75" customHeight="1">
      <c r="I630" s="104"/>
    </row>
    <row r="631" spans="9:9" ht="15.75" customHeight="1">
      <c r="I631" s="104"/>
    </row>
    <row r="632" spans="9:9" ht="15.75" customHeight="1">
      <c r="I632" s="104"/>
    </row>
    <row r="633" spans="9:9" ht="15.75" customHeight="1">
      <c r="I633" s="104"/>
    </row>
    <row r="634" spans="9:9" ht="15.75" customHeight="1">
      <c r="I634" s="104"/>
    </row>
    <row r="635" spans="9:9" ht="15.75" customHeight="1">
      <c r="I635" s="104"/>
    </row>
    <row r="636" spans="9:9" ht="15.75" customHeight="1">
      <c r="I636" s="104"/>
    </row>
    <row r="637" spans="9:9" ht="15.75" customHeight="1">
      <c r="I637" s="104"/>
    </row>
    <row r="638" spans="9:9" ht="15.75" customHeight="1">
      <c r="I638" s="104"/>
    </row>
    <row r="639" spans="9:9" ht="15.75" customHeight="1">
      <c r="I639" s="104"/>
    </row>
    <row r="640" spans="9:9" ht="15.75" customHeight="1">
      <c r="I640" s="104"/>
    </row>
    <row r="641" spans="9:9" ht="15.75" customHeight="1">
      <c r="I641" s="104"/>
    </row>
    <row r="642" spans="9:9" ht="15.75" customHeight="1">
      <c r="I642" s="104"/>
    </row>
    <row r="643" spans="9:9" ht="15.75" customHeight="1">
      <c r="I643" s="104"/>
    </row>
    <row r="644" spans="9:9" ht="15.75" customHeight="1">
      <c r="I644" s="104"/>
    </row>
    <row r="645" spans="9:9" ht="15.75" customHeight="1">
      <c r="I645" s="104"/>
    </row>
    <row r="646" spans="9:9" ht="15.75" customHeight="1">
      <c r="I646" s="104"/>
    </row>
    <row r="647" spans="9:9" ht="15.75" customHeight="1">
      <c r="I647" s="104"/>
    </row>
    <row r="648" spans="9:9" ht="15.75" customHeight="1">
      <c r="I648" s="104"/>
    </row>
    <row r="649" spans="9:9" ht="15.75" customHeight="1">
      <c r="I649" s="104"/>
    </row>
    <row r="650" spans="9:9" ht="15.75" customHeight="1">
      <c r="I650" s="104"/>
    </row>
    <row r="651" spans="9:9" ht="15.75" customHeight="1">
      <c r="I651" s="104"/>
    </row>
    <row r="652" spans="9:9" ht="15.75" customHeight="1">
      <c r="I652" s="104"/>
    </row>
    <row r="653" spans="9:9" ht="15.75" customHeight="1">
      <c r="I653" s="104"/>
    </row>
    <row r="654" spans="9:9" ht="15.75" customHeight="1">
      <c r="I654" s="104"/>
    </row>
    <row r="655" spans="9:9" ht="15.75" customHeight="1">
      <c r="I655" s="104"/>
    </row>
    <row r="656" spans="9:9" ht="15.75" customHeight="1">
      <c r="I656" s="104"/>
    </row>
    <row r="657" spans="9:9" ht="15.75" customHeight="1">
      <c r="I657" s="104"/>
    </row>
    <row r="658" spans="9:9" ht="15.75" customHeight="1">
      <c r="I658" s="104"/>
    </row>
    <row r="659" spans="9:9" ht="15.75" customHeight="1">
      <c r="I659" s="104"/>
    </row>
    <row r="660" spans="9:9" ht="15.75" customHeight="1">
      <c r="I660" s="104"/>
    </row>
    <row r="661" spans="9:9" ht="15.75" customHeight="1">
      <c r="I661" s="104"/>
    </row>
    <row r="662" spans="9:9" ht="15.75" customHeight="1">
      <c r="I662" s="104"/>
    </row>
    <row r="663" spans="9:9" ht="15.75" customHeight="1">
      <c r="I663" s="104"/>
    </row>
    <row r="664" spans="9:9" ht="15.75" customHeight="1">
      <c r="I664" s="104"/>
    </row>
    <row r="665" spans="9:9" ht="15.75" customHeight="1">
      <c r="I665" s="104"/>
    </row>
    <row r="666" spans="9:9" ht="15.75" customHeight="1">
      <c r="I666" s="104"/>
    </row>
    <row r="667" spans="9:9" ht="15.75" customHeight="1">
      <c r="I667" s="104"/>
    </row>
    <row r="668" spans="9:9" ht="15.75" customHeight="1">
      <c r="I668" s="104"/>
    </row>
    <row r="669" spans="9:9" ht="15.75" customHeight="1">
      <c r="I669" s="104"/>
    </row>
    <row r="670" spans="9:9" ht="15.75" customHeight="1">
      <c r="I670" s="104"/>
    </row>
    <row r="671" spans="9:9" ht="15.75" customHeight="1">
      <c r="I671" s="104"/>
    </row>
    <row r="672" spans="9:9" ht="15.75" customHeight="1">
      <c r="I672" s="104"/>
    </row>
    <row r="673" spans="9:9" ht="15.75" customHeight="1">
      <c r="I673" s="104"/>
    </row>
    <row r="674" spans="9:9" ht="15.75" customHeight="1">
      <c r="I674" s="104"/>
    </row>
    <row r="675" spans="9:9" ht="15.75" customHeight="1">
      <c r="I675" s="104"/>
    </row>
    <row r="676" spans="9:9" ht="15.75" customHeight="1">
      <c r="I676" s="104"/>
    </row>
    <row r="677" spans="9:9" ht="15.75" customHeight="1">
      <c r="I677" s="104"/>
    </row>
    <row r="678" spans="9:9" ht="15.75" customHeight="1">
      <c r="I678" s="104"/>
    </row>
    <row r="679" spans="9:9" ht="15.75" customHeight="1">
      <c r="I679" s="104"/>
    </row>
    <row r="680" spans="9:9" ht="15.75" customHeight="1">
      <c r="I680" s="104"/>
    </row>
    <row r="681" spans="9:9" ht="15.75" customHeight="1">
      <c r="I681" s="104"/>
    </row>
    <row r="682" spans="9:9" ht="15.75" customHeight="1">
      <c r="I682" s="104"/>
    </row>
    <row r="683" spans="9:9" ht="15.75" customHeight="1">
      <c r="I683" s="104"/>
    </row>
    <row r="684" spans="9:9" ht="15.75" customHeight="1">
      <c r="I684" s="104"/>
    </row>
    <row r="685" spans="9:9" ht="15.75" customHeight="1">
      <c r="I685" s="104"/>
    </row>
    <row r="686" spans="9:9" ht="15.75" customHeight="1">
      <c r="I686" s="104"/>
    </row>
    <row r="687" spans="9:9" ht="15.75" customHeight="1">
      <c r="I687" s="104"/>
    </row>
    <row r="688" spans="9:9" ht="15.75" customHeight="1">
      <c r="I688" s="104"/>
    </row>
    <row r="689" spans="9:9" ht="15.75" customHeight="1">
      <c r="I689" s="104"/>
    </row>
    <row r="690" spans="9:9" ht="15.75" customHeight="1">
      <c r="I690" s="104"/>
    </row>
    <row r="691" spans="9:9" ht="15.75" customHeight="1">
      <c r="I691" s="104"/>
    </row>
    <row r="692" spans="9:9" ht="15.75" customHeight="1">
      <c r="I692" s="104"/>
    </row>
    <row r="693" spans="9:9" ht="15.75" customHeight="1">
      <c r="I693" s="104"/>
    </row>
    <row r="694" spans="9:9" ht="15.75" customHeight="1">
      <c r="I694" s="104"/>
    </row>
    <row r="695" spans="9:9" ht="15.75" customHeight="1">
      <c r="I695" s="104"/>
    </row>
    <row r="696" spans="9:9" ht="15.75" customHeight="1">
      <c r="I696" s="104"/>
    </row>
    <row r="697" spans="9:9" ht="15.75" customHeight="1">
      <c r="I697" s="104"/>
    </row>
    <row r="698" spans="9:9" ht="15.75" customHeight="1">
      <c r="I698" s="104"/>
    </row>
    <row r="699" spans="9:9" ht="15.75" customHeight="1">
      <c r="I699" s="104"/>
    </row>
    <row r="700" spans="9:9" ht="15.75" customHeight="1">
      <c r="I700" s="104"/>
    </row>
    <row r="701" spans="9:9" ht="15.75" customHeight="1">
      <c r="I701" s="104"/>
    </row>
    <row r="702" spans="9:9" ht="15.75" customHeight="1">
      <c r="I702" s="104"/>
    </row>
    <row r="703" spans="9:9" ht="15.75" customHeight="1">
      <c r="I703" s="104"/>
    </row>
    <row r="704" spans="9:9" ht="15.75" customHeight="1">
      <c r="I704" s="104"/>
    </row>
    <row r="705" spans="9:9" ht="15.75" customHeight="1">
      <c r="I705" s="104"/>
    </row>
    <row r="706" spans="9:9" ht="15.75" customHeight="1">
      <c r="I706" s="104"/>
    </row>
    <row r="707" spans="9:9" ht="15.75" customHeight="1">
      <c r="I707" s="104"/>
    </row>
    <row r="708" spans="9:9" ht="15.75" customHeight="1">
      <c r="I708" s="104"/>
    </row>
    <row r="709" spans="9:9" ht="15.75" customHeight="1">
      <c r="I709" s="104"/>
    </row>
    <row r="710" spans="9:9" ht="15.75" customHeight="1">
      <c r="I710" s="104"/>
    </row>
    <row r="711" spans="9:9" ht="15.75" customHeight="1">
      <c r="I711" s="104"/>
    </row>
    <row r="712" spans="9:9" ht="15.75" customHeight="1">
      <c r="I712" s="104"/>
    </row>
    <row r="713" spans="9:9" ht="15.75" customHeight="1">
      <c r="I713" s="104"/>
    </row>
    <row r="714" spans="9:9" ht="15.75" customHeight="1">
      <c r="I714" s="104"/>
    </row>
    <row r="715" spans="9:9" ht="15.75" customHeight="1">
      <c r="I715" s="104"/>
    </row>
    <row r="716" spans="9:9" ht="15.75" customHeight="1">
      <c r="I716" s="104"/>
    </row>
    <row r="717" spans="9:9" ht="15.75" customHeight="1">
      <c r="I717" s="104"/>
    </row>
    <row r="718" spans="9:9" ht="15.75" customHeight="1">
      <c r="I718" s="104"/>
    </row>
    <row r="719" spans="9:9" ht="15.75" customHeight="1">
      <c r="I719" s="104"/>
    </row>
    <row r="720" spans="9:9" ht="15.75" customHeight="1">
      <c r="I720" s="104"/>
    </row>
    <row r="721" spans="9:9" ht="15.75" customHeight="1">
      <c r="I721" s="104"/>
    </row>
    <row r="722" spans="9:9" ht="15.75" customHeight="1">
      <c r="I722" s="104"/>
    </row>
    <row r="723" spans="9:9" ht="15.75" customHeight="1">
      <c r="I723" s="104"/>
    </row>
    <row r="724" spans="9:9" ht="15.75" customHeight="1">
      <c r="I724" s="104"/>
    </row>
    <row r="725" spans="9:9" ht="15.75" customHeight="1">
      <c r="I725" s="104"/>
    </row>
    <row r="726" spans="9:9" ht="15.75" customHeight="1">
      <c r="I726" s="104"/>
    </row>
    <row r="727" spans="9:9" ht="15.75" customHeight="1">
      <c r="I727" s="104"/>
    </row>
    <row r="728" spans="9:9" ht="15.75" customHeight="1">
      <c r="I728" s="104"/>
    </row>
    <row r="729" spans="9:9" ht="15.75" customHeight="1">
      <c r="I729" s="104"/>
    </row>
    <row r="730" spans="9:9" ht="15.75" customHeight="1">
      <c r="I730" s="104"/>
    </row>
    <row r="731" spans="9:9" ht="15.75" customHeight="1">
      <c r="I731" s="104"/>
    </row>
    <row r="732" spans="9:9" ht="15.75" customHeight="1">
      <c r="I732" s="104"/>
    </row>
    <row r="733" spans="9:9" ht="15.75" customHeight="1">
      <c r="I733" s="104"/>
    </row>
    <row r="734" spans="9:9" ht="15.75" customHeight="1">
      <c r="I734" s="104"/>
    </row>
    <row r="735" spans="9:9" ht="15.75" customHeight="1">
      <c r="I735" s="104"/>
    </row>
    <row r="736" spans="9:9" ht="15.75" customHeight="1">
      <c r="I736" s="104"/>
    </row>
    <row r="737" spans="9:9" ht="15.75" customHeight="1">
      <c r="I737" s="104"/>
    </row>
    <row r="738" spans="9:9" ht="15.75" customHeight="1">
      <c r="I738" s="104"/>
    </row>
    <row r="739" spans="9:9" ht="15.75" customHeight="1">
      <c r="I739" s="104"/>
    </row>
    <row r="740" spans="9:9" ht="15.75" customHeight="1">
      <c r="I740" s="104"/>
    </row>
    <row r="741" spans="9:9" ht="15.75" customHeight="1">
      <c r="I741" s="104"/>
    </row>
    <row r="742" spans="9:9" ht="15.75" customHeight="1">
      <c r="I742" s="104"/>
    </row>
    <row r="743" spans="9:9" ht="15.75" customHeight="1">
      <c r="I743" s="104"/>
    </row>
    <row r="744" spans="9:9" ht="15.75" customHeight="1">
      <c r="I744" s="104"/>
    </row>
    <row r="745" spans="9:9" ht="15.75" customHeight="1">
      <c r="I745" s="104"/>
    </row>
    <row r="746" spans="9:9" ht="15.75" customHeight="1">
      <c r="I746" s="104"/>
    </row>
    <row r="747" spans="9:9" ht="15.75" customHeight="1">
      <c r="I747" s="104"/>
    </row>
    <row r="748" spans="9:9" ht="15.75" customHeight="1">
      <c r="I748" s="104"/>
    </row>
    <row r="749" spans="9:9" ht="15.75" customHeight="1">
      <c r="I749" s="104"/>
    </row>
    <row r="750" spans="9:9" ht="15.75" customHeight="1">
      <c r="I750" s="104"/>
    </row>
    <row r="751" spans="9:9" ht="15.75" customHeight="1">
      <c r="I751" s="104"/>
    </row>
    <row r="752" spans="9:9" ht="15.75" customHeight="1">
      <c r="I752" s="104"/>
    </row>
    <row r="753" spans="9:9" ht="15.75" customHeight="1">
      <c r="I753" s="104"/>
    </row>
    <row r="754" spans="9:9" ht="15.75" customHeight="1">
      <c r="I754" s="104"/>
    </row>
    <row r="755" spans="9:9" ht="15.75" customHeight="1">
      <c r="I755" s="104"/>
    </row>
    <row r="756" spans="9:9" ht="15.75" customHeight="1">
      <c r="I756" s="104"/>
    </row>
    <row r="757" spans="9:9" ht="15.75" customHeight="1">
      <c r="I757" s="104"/>
    </row>
    <row r="758" spans="9:9" ht="15.75" customHeight="1">
      <c r="I758" s="104"/>
    </row>
    <row r="759" spans="9:9" ht="15.75" customHeight="1">
      <c r="I759" s="104"/>
    </row>
    <row r="760" spans="9:9" ht="15.75" customHeight="1">
      <c r="I760" s="104"/>
    </row>
    <row r="761" spans="9:9" ht="15.75" customHeight="1">
      <c r="I761" s="104"/>
    </row>
    <row r="762" spans="9:9" ht="15.75" customHeight="1">
      <c r="I762" s="104"/>
    </row>
    <row r="763" spans="9:9" ht="15.75" customHeight="1">
      <c r="I763" s="104"/>
    </row>
    <row r="764" spans="9:9" ht="15.75" customHeight="1">
      <c r="I764" s="104"/>
    </row>
    <row r="765" spans="9:9" ht="15.75" customHeight="1">
      <c r="I765" s="104"/>
    </row>
    <row r="766" spans="9:9" ht="15.75" customHeight="1">
      <c r="I766" s="104"/>
    </row>
    <row r="767" spans="9:9" ht="15.75" customHeight="1">
      <c r="I767" s="104"/>
    </row>
    <row r="768" spans="9:9" ht="15.75" customHeight="1">
      <c r="I768" s="104"/>
    </row>
    <row r="769" spans="9:9" ht="15.75" customHeight="1">
      <c r="I769" s="104"/>
    </row>
    <row r="770" spans="9:9" ht="15.75" customHeight="1">
      <c r="I770" s="104"/>
    </row>
    <row r="771" spans="9:9" ht="15.75" customHeight="1">
      <c r="I771" s="104"/>
    </row>
    <row r="772" spans="9:9" ht="15.75" customHeight="1">
      <c r="I772" s="104"/>
    </row>
    <row r="773" spans="9:9" ht="15.75" customHeight="1">
      <c r="I773" s="104"/>
    </row>
    <row r="774" spans="9:9" ht="15.75" customHeight="1">
      <c r="I774" s="104"/>
    </row>
    <row r="775" spans="9:9" ht="15.75" customHeight="1">
      <c r="I775" s="104"/>
    </row>
    <row r="776" spans="9:9" ht="15.75" customHeight="1">
      <c r="I776" s="104"/>
    </row>
    <row r="777" spans="9:9" ht="15.75" customHeight="1">
      <c r="I777" s="104"/>
    </row>
    <row r="778" spans="9:9" ht="15.75" customHeight="1">
      <c r="I778" s="104"/>
    </row>
    <row r="779" spans="9:9" ht="15.75" customHeight="1">
      <c r="I779" s="104"/>
    </row>
    <row r="780" spans="9:9" ht="15.75" customHeight="1">
      <c r="I780" s="104"/>
    </row>
    <row r="781" spans="9:9" ht="15.75" customHeight="1">
      <c r="I781" s="104"/>
    </row>
    <row r="782" spans="9:9" ht="15.75" customHeight="1">
      <c r="I782" s="104"/>
    </row>
    <row r="783" spans="9:9" ht="15.75" customHeight="1">
      <c r="I783" s="104"/>
    </row>
    <row r="784" spans="9:9" ht="15.75" customHeight="1">
      <c r="I784" s="104"/>
    </row>
    <row r="785" spans="9:9" ht="15.75" customHeight="1">
      <c r="I785" s="104"/>
    </row>
    <row r="786" spans="9:9" ht="15.75" customHeight="1">
      <c r="I786" s="104"/>
    </row>
    <row r="787" spans="9:9" ht="15.75" customHeight="1">
      <c r="I787" s="104"/>
    </row>
    <row r="788" spans="9:9" ht="15.75" customHeight="1">
      <c r="I788" s="104"/>
    </row>
    <row r="789" spans="9:9" ht="15.75" customHeight="1">
      <c r="I789" s="104"/>
    </row>
    <row r="790" spans="9:9" ht="15.75" customHeight="1">
      <c r="I790" s="104"/>
    </row>
    <row r="791" spans="9:9" ht="15.75" customHeight="1">
      <c r="I791" s="104"/>
    </row>
    <row r="792" spans="9:9" ht="15.75" customHeight="1">
      <c r="I792" s="104"/>
    </row>
    <row r="793" spans="9:9" ht="15.75" customHeight="1">
      <c r="I793" s="104"/>
    </row>
    <row r="794" spans="9:9" ht="15.75" customHeight="1">
      <c r="I794" s="104"/>
    </row>
    <row r="795" spans="9:9" ht="15.75" customHeight="1">
      <c r="I795" s="104"/>
    </row>
    <row r="796" spans="9:9" ht="15.75" customHeight="1">
      <c r="I796" s="104"/>
    </row>
    <row r="797" spans="9:9" ht="15.75" customHeight="1">
      <c r="I797" s="104"/>
    </row>
    <row r="798" spans="9:9" ht="15.75" customHeight="1">
      <c r="I798" s="104"/>
    </row>
    <row r="799" spans="9:9" ht="15.75" customHeight="1">
      <c r="I799" s="104"/>
    </row>
    <row r="800" spans="9:9" ht="15.75" customHeight="1">
      <c r="I800" s="104"/>
    </row>
    <row r="801" spans="9:9" ht="15.75" customHeight="1">
      <c r="I801" s="104"/>
    </row>
    <row r="802" spans="9:9" ht="15.75" customHeight="1">
      <c r="I802" s="104"/>
    </row>
    <row r="803" spans="9:9" ht="15.75" customHeight="1">
      <c r="I803" s="104"/>
    </row>
    <row r="804" spans="9:9" ht="15.75" customHeight="1">
      <c r="I804" s="104"/>
    </row>
    <row r="805" spans="9:9" ht="15.75" customHeight="1">
      <c r="I805" s="104"/>
    </row>
    <row r="806" spans="9:9" ht="15.75" customHeight="1">
      <c r="I806" s="104"/>
    </row>
    <row r="807" spans="9:9" ht="15.75" customHeight="1">
      <c r="I807" s="104"/>
    </row>
    <row r="808" spans="9:9" ht="15.75" customHeight="1">
      <c r="I808" s="104"/>
    </row>
    <row r="809" spans="9:9" ht="15.75" customHeight="1">
      <c r="I809" s="104"/>
    </row>
    <row r="810" spans="9:9" ht="15.75" customHeight="1">
      <c r="I810" s="104"/>
    </row>
    <row r="811" spans="9:9" ht="15.75" customHeight="1">
      <c r="I811" s="104"/>
    </row>
    <row r="812" spans="9:9" ht="15.75" customHeight="1">
      <c r="I812" s="104"/>
    </row>
    <row r="813" spans="9:9" ht="15.75" customHeight="1">
      <c r="I813" s="104"/>
    </row>
    <row r="814" spans="9:9" ht="15.75" customHeight="1">
      <c r="I814" s="104"/>
    </row>
    <row r="815" spans="9:9" ht="15.75" customHeight="1">
      <c r="I815" s="104"/>
    </row>
    <row r="816" spans="9:9" ht="15.75" customHeight="1">
      <c r="I816" s="104"/>
    </row>
    <row r="817" spans="9:9" ht="15.75" customHeight="1">
      <c r="I817" s="104"/>
    </row>
    <row r="818" spans="9:9" ht="15.75" customHeight="1">
      <c r="I818" s="104"/>
    </row>
    <row r="819" spans="9:9" ht="15.75" customHeight="1">
      <c r="I819" s="104"/>
    </row>
    <row r="820" spans="9:9" ht="15.75" customHeight="1">
      <c r="I820" s="104"/>
    </row>
    <row r="821" spans="9:9" ht="15.75" customHeight="1">
      <c r="I821" s="104"/>
    </row>
    <row r="822" spans="9:9" ht="15.75" customHeight="1">
      <c r="I822" s="104"/>
    </row>
    <row r="823" spans="9:9" ht="15.75" customHeight="1">
      <c r="I823" s="104"/>
    </row>
    <row r="824" spans="9:9" ht="15.75" customHeight="1">
      <c r="I824" s="104"/>
    </row>
    <row r="825" spans="9:9" ht="15.75" customHeight="1">
      <c r="I825" s="104"/>
    </row>
    <row r="826" spans="9:9" ht="15.75" customHeight="1">
      <c r="I826" s="104"/>
    </row>
    <row r="827" spans="9:9" ht="15.75" customHeight="1">
      <c r="I827" s="104"/>
    </row>
    <row r="828" spans="9:9" ht="15.75" customHeight="1">
      <c r="I828" s="104"/>
    </row>
    <row r="829" spans="9:9" ht="15.75" customHeight="1">
      <c r="I829" s="104"/>
    </row>
    <row r="830" spans="9:9" ht="15.75" customHeight="1">
      <c r="I830" s="104"/>
    </row>
    <row r="831" spans="9:9" ht="15.75" customHeight="1">
      <c r="I831" s="104"/>
    </row>
    <row r="832" spans="9:9" ht="15.75" customHeight="1">
      <c r="I832" s="104"/>
    </row>
    <row r="833" spans="9:9" ht="15.75" customHeight="1">
      <c r="I833" s="104"/>
    </row>
    <row r="834" spans="9:9" ht="15.75" customHeight="1">
      <c r="I834" s="104"/>
    </row>
    <row r="835" spans="9:9" ht="15.75" customHeight="1">
      <c r="I835" s="104"/>
    </row>
    <row r="836" spans="9:9" ht="15.75" customHeight="1">
      <c r="I836" s="104"/>
    </row>
    <row r="837" spans="9:9" ht="15.75" customHeight="1">
      <c r="I837" s="104"/>
    </row>
    <row r="838" spans="9:9" ht="15.75" customHeight="1">
      <c r="I838" s="104"/>
    </row>
    <row r="839" spans="9:9" ht="15.75" customHeight="1">
      <c r="I839" s="104"/>
    </row>
    <row r="840" spans="9:9" ht="15.75" customHeight="1">
      <c r="I840" s="104"/>
    </row>
    <row r="841" spans="9:9" ht="15.75" customHeight="1">
      <c r="I841" s="104"/>
    </row>
    <row r="842" spans="9:9" ht="15.75" customHeight="1">
      <c r="I842" s="104"/>
    </row>
    <row r="843" spans="9:9" ht="15.75" customHeight="1">
      <c r="I843" s="104"/>
    </row>
    <row r="844" spans="9:9" ht="15.75" customHeight="1">
      <c r="I844" s="104"/>
    </row>
    <row r="845" spans="9:9" ht="15.75" customHeight="1">
      <c r="I845" s="104"/>
    </row>
    <row r="846" spans="9:9" ht="15.75" customHeight="1">
      <c r="I846" s="104"/>
    </row>
    <row r="847" spans="9:9" ht="15.75" customHeight="1">
      <c r="I847" s="104"/>
    </row>
    <row r="848" spans="9:9" ht="15.75" customHeight="1">
      <c r="I848" s="104"/>
    </row>
    <row r="849" spans="9:9" ht="15.75" customHeight="1">
      <c r="I849" s="104"/>
    </row>
    <row r="850" spans="9:9" ht="15.75" customHeight="1">
      <c r="I850" s="104"/>
    </row>
    <row r="851" spans="9:9" ht="15.75" customHeight="1">
      <c r="I851" s="104"/>
    </row>
    <row r="852" spans="9:9" ht="15.75" customHeight="1">
      <c r="I852" s="104"/>
    </row>
    <row r="853" spans="9:9" ht="15.75" customHeight="1">
      <c r="I853" s="104"/>
    </row>
    <row r="854" spans="9:9" ht="15.75" customHeight="1">
      <c r="I854" s="104"/>
    </row>
    <row r="855" spans="9:9" ht="15.75" customHeight="1">
      <c r="I855" s="104"/>
    </row>
    <row r="856" spans="9:9" ht="15.75" customHeight="1">
      <c r="I856" s="104"/>
    </row>
    <row r="857" spans="9:9" ht="15.75" customHeight="1">
      <c r="I857" s="104"/>
    </row>
    <row r="858" spans="9:9" ht="15.75" customHeight="1">
      <c r="I858" s="104"/>
    </row>
    <row r="859" spans="9:9" ht="15.75" customHeight="1">
      <c r="I859" s="104"/>
    </row>
    <row r="860" spans="9:9" ht="15.75" customHeight="1">
      <c r="I860" s="104"/>
    </row>
    <row r="861" spans="9:9" ht="15.75" customHeight="1">
      <c r="I861" s="104"/>
    </row>
    <row r="862" spans="9:9" ht="15.75" customHeight="1">
      <c r="I862" s="104"/>
    </row>
    <row r="863" spans="9:9" ht="15.75" customHeight="1">
      <c r="I863" s="104"/>
    </row>
    <row r="864" spans="9:9" ht="15.75" customHeight="1">
      <c r="I864" s="104"/>
    </row>
    <row r="865" spans="9:9" ht="15.75" customHeight="1">
      <c r="I865" s="104"/>
    </row>
    <row r="866" spans="9:9" ht="15.75" customHeight="1">
      <c r="I866" s="104"/>
    </row>
    <row r="867" spans="9:9" ht="15.75" customHeight="1">
      <c r="I867" s="104"/>
    </row>
    <row r="868" spans="9:9" ht="15.75" customHeight="1">
      <c r="I868" s="104"/>
    </row>
    <row r="869" spans="9:9" ht="15.75" customHeight="1">
      <c r="I869" s="104"/>
    </row>
    <row r="870" spans="9:9" ht="15.75" customHeight="1">
      <c r="I870" s="104"/>
    </row>
    <row r="871" spans="9:9" ht="15.75" customHeight="1">
      <c r="I871" s="104"/>
    </row>
    <row r="872" spans="9:9" ht="15.75" customHeight="1">
      <c r="I872" s="104"/>
    </row>
    <row r="873" spans="9:9" ht="15.75" customHeight="1">
      <c r="I873" s="104"/>
    </row>
    <row r="874" spans="9:9" ht="15.75" customHeight="1">
      <c r="I874" s="104"/>
    </row>
    <row r="875" spans="9:9" ht="15.75" customHeight="1">
      <c r="I875" s="104"/>
    </row>
    <row r="876" spans="9:9" ht="15.75" customHeight="1">
      <c r="I876" s="104"/>
    </row>
    <row r="877" spans="9:9" ht="15.75" customHeight="1">
      <c r="I877" s="104"/>
    </row>
    <row r="878" spans="9:9" ht="15.75" customHeight="1">
      <c r="I878" s="104"/>
    </row>
    <row r="879" spans="9:9" ht="15.75" customHeight="1">
      <c r="I879" s="104"/>
    </row>
    <row r="880" spans="9:9" ht="15.75" customHeight="1">
      <c r="I880" s="104"/>
    </row>
    <row r="881" spans="9:9" ht="15.75" customHeight="1">
      <c r="I881" s="104"/>
    </row>
    <row r="882" spans="9:9" ht="15.75" customHeight="1">
      <c r="I882" s="104"/>
    </row>
    <row r="883" spans="9:9" ht="15.75" customHeight="1">
      <c r="I883" s="104"/>
    </row>
    <row r="884" spans="9:9" ht="15.75" customHeight="1">
      <c r="I884" s="104"/>
    </row>
    <row r="885" spans="9:9" ht="15.75" customHeight="1">
      <c r="I885" s="104"/>
    </row>
    <row r="886" spans="9:9" ht="15.75" customHeight="1">
      <c r="I886" s="104"/>
    </row>
    <row r="887" spans="9:9" ht="15.75" customHeight="1">
      <c r="I887" s="104"/>
    </row>
    <row r="888" spans="9:9" ht="15.75" customHeight="1">
      <c r="I888" s="104"/>
    </row>
    <row r="889" spans="9:9" ht="15.75" customHeight="1">
      <c r="I889" s="104"/>
    </row>
    <row r="890" spans="9:9" ht="15.75" customHeight="1">
      <c r="I890" s="104"/>
    </row>
    <row r="891" spans="9:9" ht="15.75" customHeight="1">
      <c r="I891" s="104"/>
    </row>
    <row r="892" spans="9:9" ht="15.75" customHeight="1">
      <c r="I892" s="104"/>
    </row>
    <row r="893" spans="9:9" ht="15.75" customHeight="1">
      <c r="I893" s="104"/>
    </row>
    <row r="894" spans="9:9" ht="15.75" customHeight="1">
      <c r="I894" s="104"/>
    </row>
    <row r="895" spans="9:9" ht="15.75" customHeight="1">
      <c r="I895" s="104"/>
    </row>
    <row r="896" spans="9:9" ht="15.75" customHeight="1">
      <c r="I896" s="104"/>
    </row>
    <row r="897" spans="9:9" ht="15.75" customHeight="1">
      <c r="I897" s="104"/>
    </row>
    <row r="898" spans="9:9" ht="15.75" customHeight="1">
      <c r="I898" s="104"/>
    </row>
    <row r="899" spans="9:9" ht="15.75" customHeight="1">
      <c r="I899" s="104"/>
    </row>
    <row r="900" spans="9:9" ht="15.75" customHeight="1">
      <c r="I900" s="104"/>
    </row>
    <row r="901" spans="9:9" ht="15.75" customHeight="1">
      <c r="I901" s="104"/>
    </row>
    <row r="902" spans="9:9" ht="15.75" customHeight="1">
      <c r="I902" s="104"/>
    </row>
    <row r="903" spans="9:9" ht="15.75" customHeight="1">
      <c r="I903" s="104"/>
    </row>
    <row r="904" spans="9:9" ht="15.75" customHeight="1">
      <c r="I904" s="104"/>
    </row>
    <row r="905" spans="9:9" ht="15.75" customHeight="1">
      <c r="I905" s="104"/>
    </row>
    <row r="906" spans="9:9" ht="15.75" customHeight="1">
      <c r="I906" s="104"/>
    </row>
    <row r="907" spans="9:9" ht="15.75" customHeight="1">
      <c r="I907" s="104"/>
    </row>
    <row r="908" spans="9:9" ht="15.75" customHeight="1">
      <c r="I908" s="104"/>
    </row>
    <row r="909" spans="9:9" ht="15.75" customHeight="1">
      <c r="I909" s="104"/>
    </row>
    <row r="910" spans="9:9" ht="15.75" customHeight="1">
      <c r="I910" s="104"/>
    </row>
    <row r="911" spans="9:9" ht="15.75" customHeight="1">
      <c r="I911" s="104"/>
    </row>
    <row r="912" spans="9:9" ht="15.75" customHeight="1">
      <c r="I912" s="104"/>
    </row>
    <row r="913" spans="9:9" ht="15.75" customHeight="1">
      <c r="I913" s="104"/>
    </row>
    <row r="914" spans="9:9" ht="15.75" customHeight="1">
      <c r="I914" s="104"/>
    </row>
    <row r="915" spans="9:9" ht="15.75" customHeight="1">
      <c r="I915" s="104"/>
    </row>
    <row r="916" spans="9:9" ht="15.75" customHeight="1">
      <c r="I916" s="104"/>
    </row>
    <row r="917" spans="9:9" ht="15.75" customHeight="1">
      <c r="I917" s="104"/>
    </row>
    <row r="918" spans="9:9" ht="15.75" customHeight="1">
      <c r="I918" s="104"/>
    </row>
    <row r="919" spans="9:9" ht="15.75" customHeight="1">
      <c r="I919" s="104"/>
    </row>
    <row r="920" spans="9:9" ht="15.75" customHeight="1">
      <c r="I920" s="104"/>
    </row>
    <row r="921" spans="9:9" ht="15.75" customHeight="1">
      <c r="I921" s="104"/>
    </row>
    <row r="922" spans="9:9" ht="15.75" customHeight="1">
      <c r="I922" s="104"/>
    </row>
    <row r="923" spans="9:9" ht="15.75" customHeight="1">
      <c r="I923" s="104"/>
    </row>
    <row r="924" spans="9:9" ht="15.75" customHeight="1">
      <c r="I924" s="104"/>
    </row>
    <row r="925" spans="9:9" ht="15.75" customHeight="1">
      <c r="I925" s="104"/>
    </row>
    <row r="926" spans="9:9" ht="15.75" customHeight="1">
      <c r="I926" s="104"/>
    </row>
    <row r="927" spans="9:9" ht="15.75" customHeight="1">
      <c r="I927" s="104"/>
    </row>
    <row r="928" spans="9:9" ht="15.75" customHeight="1">
      <c r="I928" s="104"/>
    </row>
    <row r="929" spans="9:9" ht="15.75" customHeight="1">
      <c r="I929" s="104"/>
    </row>
    <row r="930" spans="9:9" ht="15.75" customHeight="1">
      <c r="I930" s="104"/>
    </row>
    <row r="931" spans="9:9" ht="15.75" customHeight="1">
      <c r="I931" s="104"/>
    </row>
    <row r="932" spans="9:9" ht="15.75" customHeight="1">
      <c r="I932" s="104"/>
    </row>
    <row r="933" spans="9:9" ht="15.75" customHeight="1">
      <c r="I933" s="104"/>
    </row>
    <row r="934" spans="9:9" ht="15.75" customHeight="1">
      <c r="I934" s="104"/>
    </row>
    <row r="935" spans="9:9" ht="15.75" customHeight="1">
      <c r="I935" s="104"/>
    </row>
    <row r="936" spans="9:9" ht="15.75" customHeight="1">
      <c r="I936" s="104"/>
    </row>
    <row r="937" spans="9:9" ht="15.75" customHeight="1">
      <c r="I937" s="104"/>
    </row>
    <row r="938" spans="9:9" ht="15.75" customHeight="1">
      <c r="I938" s="104"/>
    </row>
    <row r="939" spans="9:9" ht="15.75" customHeight="1">
      <c r="I939" s="104"/>
    </row>
    <row r="940" spans="9:9" ht="15.75" customHeight="1">
      <c r="I940" s="104"/>
    </row>
    <row r="941" spans="9:9" ht="15.75" customHeight="1">
      <c r="I941" s="104"/>
    </row>
    <row r="942" spans="9:9" ht="15.75" customHeight="1">
      <c r="I942" s="104"/>
    </row>
    <row r="943" spans="9:9" ht="15.75" customHeight="1">
      <c r="I943" s="104"/>
    </row>
    <row r="944" spans="9:9" ht="15.75" customHeight="1">
      <c r="I944" s="104"/>
    </row>
    <row r="945" spans="9:9" ht="15.75" customHeight="1">
      <c r="I945" s="104"/>
    </row>
    <row r="946" spans="9:9" ht="15.75" customHeight="1">
      <c r="I946" s="104"/>
    </row>
    <row r="947" spans="9:9" ht="15.75" customHeight="1">
      <c r="I947" s="104"/>
    </row>
    <row r="948" spans="9:9" ht="15.75" customHeight="1">
      <c r="I948" s="104"/>
    </row>
    <row r="949" spans="9:9" ht="15.75" customHeight="1">
      <c r="I949" s="104"/>
    </row>
    <row r="950" spans="9:9" ht="15.75" customHeight="1">
      <c r="I950" s="104"/>
    </row>
    <row r="951" spans="9:9" ht="15.75" customHeight="1">
      <c r="I951" s="104"/>
    </row>
    <row r="952" spans="9:9" ht="15.75" customHeight="1">
      <c r="I952" s="104"/>
    </row>
    <row r="953" spans="9:9" ht="15.75" customHeight="1">
      <c r="I953" s="104"/>
    </row>
    <row r="954" spans="9:9" ht="15.75" customHeight="1">
      <c r="I954" s="104"/>
    </row>
    <row r="955" spans="9:9" ht="15.75" customHeight="1">
      <c r="I955" s="104"/>
    </row>
    <row r="956" spans="9:9" ht="15.75" customHeight="1">
      <c r="I956" s="104"/>
    </row>
    <row r="957" spans="9:9" ht="15.75" customHeight="1">
      <c r="I957" s="104"/>
    </row>
    <row r="958" spans="9:9" ht="15.75" customHeight="1">
      <c r="I958" s="104"/>
    </row>
    <row r="959" spans="9:9" ht="15.75" customHeight="1">
      <c r="I959" s="104"/>
    </row>
    <row r="960" spans="9:9" ht="15.75" customHeight="1">
      <c r="I960" s="104"/>
    </row>
    <row r="961" spans="9:9" ht="15.75" customHeight="1">
      <c r="I961" s="104"/>
    </row>
    <row r="962" spans="9:9" ht="15.75" customHeight="1">
      <c r="I962" s="104"/>
    </row>
    <row r="963" spans="9:9" ht="15.75" customHeight="1">
      <c r="I963" s="104"/>
    </row>
    <row r="964" spans="9:9" ht="15.75" customHeight="1">
      <c r="I964" s="104"/>
    </row>
    <row r="965" spans="9:9" ht="15.75" customHeight="1">
      <c r="I965" s="104"/>
    </row>
    <row r="966" spans="9:9" ht="15.75" customHeight="1">
      <c r="I966" s="104"/>
    </row>
    <row r="967" spans="9:9" ht="15.75" customHeight="1">
      <c r="I967" s="104"/>
    </row>
    <row r="968" spans="9:9" ht="15.75" customHeight="1">
      <c r="I968" s="104"/>
    </row>
    <row r="969" spans="9:9" ht="15.75" customHeight="1">
      <c r="I969" s="104"/>
    </row>
    <row r="970" spans="9:9" ht="15.75" customHeight="1">
      <c r="I970" s="104"/>
    </row>
    <row r="971" spans="9:9" ht="15.75" customHeight="1">
      <c r="I971" s="104"/>
    </row>
    <row r="972" spans="9:9" ht="15.75" customHeight="1">
      <c r="I972" s="104"/>
    </row>
    <row r="973" spans="9:9" ht="15.75" customHeight="1">
      <c r="I973" s="104"/>
    </row>
    <row r="974" spans="9:9" ht="15.75" customHeight="1">
      <c r="I974" s="104"/>
    </row>
    <row r="975" spans="9:9" ht="15.75" customHeight="1">
      <c r="I975" s="104"/>
    </row>
    <row r="976" spans="9:9" ht="15.75" customHeight="1">
      <c r="I976" s="104"/>
    </row>
    <row r="977" spans="9:9" ht="15.75" customHeight="1">
      <c r="I977" s="104"/>
    </row>
    <row r="978" spans="9:9" ht="15.75" customHeight="1">
      <c r="I978" s="104"/>
    </row>
    <row r="979" spans="9:9" ht="15.75" customHeight="1">
      <c r="I979" s="104"/>
    </row>
    <row r="980" spans="9:9" ht="15.75" customHeight="1">
      <c r="I980" s="104"/>
    </row>
    <row r="981" spans="9:9" ht="15.75" customHeight="1">
      <c r="I981" s="104"/>
    </row>
    <row r="982" spans="9:9" ht="15.75" customHeight="1">
      <c r="I982" s="104"/>
    </row>
    <row r="983" spans="9:9" ht="15.75" customHeight="1">
      <c r="I983" s="104"/>
    </row>
    <row r="984" spans="9:9" ht="15.75" customHeight="1">
      <c r="I984" s="104"/>
    </row>
    <row r="985" spans="9:9" ht="15.75" customHeight="1">
      <c r="I985" s="104"/>
    </row>
    <row r="986" spans="9:9" ht="15.75" customHeight="1">
      <c r="I986" s="104"/>
    </row>
    <row r="987" spans="9:9" ht="15.75" customHeight="1">
      <c r="I987" s="104"/>
    </row>
    <row r="988" spans="9:9" ht="15.75" customHeight="1">
      <c r="I988" s="104"/>
    </row>
    <row r="989" spans="9:9" ht="15.75" customHeight="1">
      <c r="I989" s="104"/>
    </row>
    <row r="990" spans="9:9" ht="15.75" customHeight="1">
      <c r="I990" s="104"/>
    </row>
    <row r="991" spans="9:9" ht="15.75" customHeight="1">
      <c r="I991" s="104"/>
    </row>
    <row r="992" spans="9:9" ht="15.75" customHeight="1">
      <c r="I992" s="104"/>
    </row>
    <row r="993" spans="9:9" ht="15.75" customHeight="1">
      <c r="I993" s="104"/>
    </row>
    <row r="994" spans="9:9" ht="15.75" customHeight="1">
      <c r="I994" s="104"/>
    </row>
    <row r="995" spans="9:9" ht="15.75" customHeight="1">
      <c r="I995" s="104"/>
    </row>
    <row r="996" spans="9:9" ht="15.75" customHeight="1">
      <c r="I996" s="104"/>
    </row>
    <row r="997" spans="9:9" ht="15.75" customHeight="1">
      <c r="I997" s="104"/>
    </row>
    <row r="998" spans="9:9" ht="15.75" customHeight="1">
      <c r="I998" s="104"/>
    </row>
    <row r="999" spans="9:9" ht="15.75" customHeight="1">
      <c r="I999" s="104"/>
    </row>
    <row r="1000" spans="9:9" ht="15.75" customHeight="1">
      <c r="I1000" s="104"/>
    </row>
    <row r="1001" spans="9:9" ht="15.75" customHeight="1">
      <c r="I1001" s="104"/>
    </row>
    <row r="1002" spans="9:9" ht="15.75" customHeight="1">
      <c r="I1002" s="104"/>
    </row>
    <row r="1003" spans="9:9" ht="15.75" customHeight="1">
      <c r="I1003" s="104"/>
    </row>
    <row r="1004" spans="9:9" ht="15.75" customHeight="1">
      <c r="I1004" s="104"/>
    </row>
    <row r="1005" spans="9:9" ht="15.75" customHeight="1">
      <c r="I1005" s="104"/>
    </row>
    <row r="1006" spans="9:9" ht="15.75" customHeight="1">
      <c r="I1006" s="104"/>
    </row>
    <row r="1007" spans="9:9" ht="15.75" customHeight="1">
      <c r="I1007" s="104"/>
    </row>
    <row r="1008" spans="9:9" ht="15.75" customHeight="1">
      <c r="I1008" s="104"/>
    </row>
    <row r="1009" spans="9:9" ht="15.75" customHeight="1">
      <c r="I1009" s="104"/>
    </row>
    <row r="1010" spans="9:9" ht="15.75" customHeight="1">
      <c r="I1010" s="104"/>
    </row>
  </sheetData>
  <mergeCells count="46">
    <mergeCell ref="C13:E13"/>
    <mergeCell ref="C15:E15"/>
    <mergeCell ref="E92:G92"/>
    <mergeCell ref="E93:G93"/>
    <mergeCell ref="E94:G94"/>
    <mergeCell ref="E99:G99"/>
    <mergeCell ref="E100:G100"/>
    <mergeCell ref="B92:C92"/>
    <mergeCell ref="H101:I101"/>
    <mergeCell ref="B9:C9"/>
    <mergeCell ref="F9:I9"/>
    <mergeCell ref="G10:I10"/>
    <mergeCell ref="G11:I12"/>
    <mergeCell ref="G13:I13"/>
    <mergeCell ref="G14:I14"/>
    <mergeCell ref="G15:I15"/>
    <mergeCell ref="C11:C12"/>
    <mergeCell ref="B16:C16"/>
    <mergeCell ref="B101:C101"/>
    <mergeCell ref="B100:C100"/>
    <mergeCell ref="B94:C94"/>
    <mergeCell ref="B97:C97"/>
    <mergeCell ref="C91:I91"/>
    <mergeCell ref="H102:I102"/>
    <mergeCell ref="H103:I107"/>
    <mergeCell ref="F101:G107"/>
    <mergeCell ref="F108:G108"/>
    <mergeCell ref="B93:C93"/>
    <mergeCell ref="H108:I108"/>
    <mergeCell ref="B103:C103"/>
    <mergeCell ref="B102:C102"/>
    <mergeCell ref="B104:C108"/>
    <mergeCell ref="B6:C6"/>
    <mergeCell ref="F6:G6"/>
    <mergeCell ref="H6:I6"/>
    <mergeCell ref="F7:G7"/>
    <mergeCell ref="F8:G8"/>
    <mergeCell ref="H8:I8"/>
    <mergeCell ref="B1:B2"/>
    <mergeCell ref="F4:G4"/>
    <mergeCell ref="H4:I4"/>
    <mergeCell ref="H5:I5"/>
    <mergeCell ref="C1:I1"/>
    <mergeCell ref="C2:I2"/>
    <mergeCell ref="B3:I3"/>
    <mergeCell ref="F5:G5"/>
  </mergeCells>
  <dataValidations count="2">
    <dataValidation type="custom" allowBlank="1" showErrorMessage="1" sqref="H20:H21">
      <formula1>NOT(ISBLANK(#REF!))</formula1>
    </dataValidation>
    <dataValidation type="custom" allowBlank="1" showErrorMessage="1" sqref="G11">
      <formula1>NOT(ISBLANK(G10))</formula1>
    </dataValidation>
  </dataValidations>
  <printOptions horizontalCentered="1" gridLines="1"/>
  <pageMargins left="0.25" right="0.25" top="0.75" bottom="0.75" header="0" footer="0"/>
  <pageSetup paperSize="9" fitToHeight="0" pageOrder="overThenDown" orientation="portrait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BILL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2026-01-22T08:43:02Z</dcterms:modified>
</cp:coreProperties>
</file>