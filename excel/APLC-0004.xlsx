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arry\Desktop\Akankha Billing -New town\"/>
    </mc:Choice>
  </mc:AlternateContent>
  <bookViews>
    <workbookView xWindow="0" yWindow="0" windowWidth="23016" windowHeight="8472"/>
  </bookViews>
  <sheets>
    <sheet name="Belgarhia-civil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1" l="1"/>
  <c r="I46" i="1" l="1"/>
  <c r="I34" i="1" l="1"/>
  <c r="I33" i="1"/>
  <c r="I32" i="1"/>
  <c r="I24" i="1"/>
  <c r="I45" i="1" l="1"/>
  <c r="I37" i="1" l="1"/>
  <c r="I20" i="1" l="1"/>
  <c r="I47" i="1"/>
  <c r="I31" i="1"/>
  <c r="I35" i="1"/>
  <c r="I30" i="1"/>
  <c r="I25" i="1"/>
  <c r="I26" i="1"/>
  <c r="I21" i="1"/>
  <c r="I48" i="1"/>
  <c r="I43" i="1"/>
  <c r="I42" i="1"/>
  <c r="I41" i="1"/>
  <c r="I40" i="1"/>
  <c r="I39" i="1"/>
  <c r="I36" i="1"/>
  <c r="I29" i="1"/>
  <c r="I28" i="1"/>
  <c r="I27" i="1"/>
  <c r="I23" i="1"/>
  <c r="I22" i="1"/>
  <c r="I49" i="1" l="1"/>
  <c r="I51" i="1" s="1"/>
  <c r="I52" i="1" s="1"/>
  <c r="I53" i="1" s="1"/>
  <c r="I54" i="1" s="1"/>
</calcChain>
</file>

<file path=xl/sharedStrings.xml><?xml version="1.0" encoding="utf-8"?>
<sst xmlns="http://schemas.openxmlformats.org/spreadsheetml/2006/main" count="166" uniqueCount="127">
  <si>
    <t>M/S I FOUR U ENGINEERING SERVICES</t>
  </si>
  <si>
    <t>GSTIN : 20ARNPA8397C1ZX</t>
  </si>
  <si>
    <t xml:space="preserve">INVOICE NUMBER </t>
  </si>
  <si>
    <t>Transportation Mode</t>
  </si>
  <si>
    <t>Work at site</t>
  </si>
  <si>
    <t xml:space="preserve">GSTIN : </t>
  </si>
  <si>
    <r>
      <rPr>
        <b/>
        <sz val="12"/>
        <color rgb="FF1F1F1F"/>
        <rFont val="Bookman Old Style"/>
        <family val="1"/>
      </rPr>
      <t>20ARNPA8397C1ZX</t>
    </r>
  </si>
  <si>
    <t>Vehicle No.</t>
  </si>
  <si>
    <t>N/A</t>
  </si>
  <si>
    <t>Tax is payable on reverse charge : (yes /no)</t>
  </si>
  <si>
    <t>Date and Time of supply</t>
  </si>
  <si>
    <t>INVOICE DATE</t>
  </si>
  <si>
    <t>Place of supply</t>
  </si>
  <si>
    <t>Details of Reciever (Billed to)</t>
  </si>
  <si>
    <t>Details of Consignee (Work at Site)</t>
  </si>
  <si>
    <t>Name</t>
  </si>
  <si>
    <t>Apollo Pharmacies Limited</t>
  </si>
  <si>
    <t>Address</t>
  </si>
  <si>
    <t>Block A RGM 5/284, Jagardanga Rajarhat Gopalpur, New Town , Kolkata-700136</t>
  </si>
  <si>
    <t>State</t>
  </si>
  <si>
    <t>West Bengal</t>
  </si>
  <si>
    <t>State Code</t>
  </si>
  <si>
    <t>GSTIN NO.</t>
  </si>
  <si>
    <t>19AAPCA5954P1ZO</t>
  </si>
  <si>
    <t>S NO.</t>
  </si>
  <si>
    <t>ITEM NAME</t>
  </si>
  <si>
    <t>DESCRIPTION OF THE ITEM</t>
  </si>
  <si>
    <t>SAC</t>
  </si>
  <si>
    <t>PRODUCT</t>
  </si>
  <si>
    <t>UNIT</t>
  </si>
  <si>
    <t>Price</t>
  </si>
  <si>
    <t>Quantity</t>
  </si>
  <si>
    <t>Amount</t>
  </si>
  <si>
    <t>CIVIL WORKS</t>
  </si>
  <si>
    <t>False Ceiling</t>
  </si>
  <si>
    <r>
      <rPr>
        <sz val="13"/>
        <color theme="1"/>
        <rFont val="Aptos Narrow"/>
        <family val="2"/>
      </rPr>
      <t xml:space="preserve">Gyproc by Saint Gobain/ </t>
    </r>
    <r>
      <rPr>
        <b/>
        <sz val="13"/>
        <color theme="1"/>
        <rFont val="Aptos Narrow"/>
        <family val="2"/>
      </rPr>
      <t>Knauff</t>
    </r>
    <r>
      <rPr>
        <sz val="13"/>
        <color theme="1"/>
        <rFont val="Aptos Narrow"/>
        <family val="2"/>
      </rPr>
      <t xml:space="preserve"> </t>
    </r>
  </si>
  <si>
    <t>Sft</t>
  </si>
  <si>
    <t xml:space="preserve">Asian Paint White ROYALE L-105         </t>
  </si>
  <si>
    <t>Asian Paint White Tractor Emulsion   L-105</t>
  </si>
  <si>
    <t>Enamel Painting - Shutters</t>
  </si>
  <si>
    <t>Asian Paints</t>
  </si>
  <si>
    <t xml:space="preserve">Toughend glass  </t>
  </si>
  <si>
    <t>Toughend glass  Patches</t>
  </si>
  <si>
    <r>
      <rPr>
        <sz val="13"/>
        <color theme="1"/>
        <rFont val="Aptos Narrow"/>
        <family val="2"/>
      </rPr>
      <t>Providing and fixing of frameless partition Patches</t>
    </r>
    <r>
      <rPr>
        <b/>
        <sz val="13"/>
        <color theme="1"/>
        <rFont val="Aptos Narrow"/>
        <family val="2"/>
      </rPr>
      <t xml:space="preserve"> 4 - 6 inches</t>
    </r>
    <r>
      <rPr>
        <sz val="13"/>
        <color theme="1"/>
        <rFont val="Aptos Narrow"/>
        <family val="2"/>
      </rPr>
      <t xml:space="preserve">(Door patches top &amp; bottom) for toughened glass including all the necessary fittings.  </t>
    </r>
    <r>
      <rPr>
        <b/>
        <sz val="13"/>
        <color theme="1"/>
        <rFont val="Aptos Narrow"/>
        <family val="2"/>
      </rPr>
      <t xml:space="preserve"> OPF -2E or OPF-3E</t>
    </r>
  </si>
  <si>
    <t>Ozone</t>
  </si>
  <si>
    <t xml:space="preserve">Floor spring </t>
  </si>
  <si>
    <r>
      <rPr>
        <sz val="13"/>
        <color theme="1"/>
        <rFont val="Aptos Narrow"/>
        <family val="2"/>
      </rPr>
      <t xml:space="preserve">Strike plate of make </t>
    </r>
    <r>
      <rPr>
        <b/>
        <sz val="13"/>
        <color theme="1"/>
        <rFont val="Aptos Narrow"/>
        <family val="2"/>
      </rPr>
      <t>OZONE</t>
    </r>
    <r>
      <rPr>
        <sz val="13"/>
        <color theme="1"/>
        <rFont val="Aptos Narrow"/>
        <family val="2"/>
      </rPr>
      <t xml:space="preserve"> </t>
    </r>
    <r>
      <rPr>
        <b/>
        <sz val="13"/>
        <color theme="1"/>
        <rFont val="Aptos Narrow"/>
        <family val="2"/>
      </rPr>
      <t xml:space="preserve"> 8400 (Ozone)</t>
    </r>
    <r>
      <rPr>
        <sz val="13"/>
        <color theme="1"/>
        <rFont val="Aptos Narrow"/>
        <family val="2"/>
      </rPr>
      <t xml:space="preserve"> Lock with double cylinder, Pivot, Floor Spring </t>
    </r>
    <r>
      <rPr>
        <b/>
        <sz val="13"/>
        <color theme="1"/>
        <rFont val="Aptos Narrow"/>
        <family val="2"/>
      </rPr>
      <t>FS-8400 STD SSS</t>
    </r>
  </si>
  <si>
    <t>Door handle up to 2'</t>
  </si>
  <si>
    <r>
      <rPr>
        <b/>
        <sz val="13"/>
        <color theme="1"/>
        <rFont val="Aptos Narrow"/>
        <family val="2"/>
      </rPr>
      <t xml:space="preserve"> 600 mm</t>
    </r>
    <r>
      <rPr>
        <sz val="13"/>
        <color theme="1"/>
        <rFont val="Aptos Narrow"/>
        <family val="2"/>
      </rPr>
      <t xml:space="preserve"> ('O'/'H') type)</t>
    </r>
  </si>
  <si>
    <t>24/7 Door Hinges</t>
  </si>
  <si>
    <t>24/7 Door Hinges, OSSH-22ED (OZONE).</t>
  </si>
  <si>
    <t>24/7 Door Lock</t>
  </si>
  <si>
    <t>OPL-3A-STD SSS.</t>
  </si>
  <si>
    <t>Local</t>
  </si>
  <si>
    <t>Shutter boxing, Shutter Columns, AC supporting box</t>
  </si>
  <si>
    <t xml:space="preserve">Merino -22223 </t>
  </si>
  <si>
    <t>Window closing</t>
  </si>
  <si>
    <t>Ply wood</t>
  </si>
  <si>
    <t>Shutter centre lock</t>
  </si>
  <si>
    <r>
      <rPr>
        <sz val="13"/>
        <color theme="1"/>
        <rFont val="Aptos Narrow"/>
        <family val="2"/>
      </rPr>
      <t xml:space="preserve">Providing and fixing of </t>
    </r>
    <r>
      <rPr>
        <b/>
        <sz val="13"/>
        <color theme="1"/>
        <rFont val="Aptos Narrow"/>
        <family val="2"/>
      </rPr>
      <t>heavy duty</t>
    </r>
    <r>
      <rPr>
        <sz val="13"/>
        <color theme="1"/>
        <rFont val="Aptos Narrow"/>
        <family val="2"/>
      </rPr>
      <t xml:space="preserve"> center locks for the shutters</t>
    </r>
  </si>
  <si>
    <t>Shutter side lock</t>
  </si>
  <si>
    <r>
      <rPr>
        <sz val="13"/>
        <color theme="1"/>
        <rFont val="Aptos Narrow"/>
        <family val="2"/>
      </rPr>
      <t xml:space="preserve">Providing and fixing of </t>
    </r>
    <r>
      <rPr>
        <b/>
        <sz val="13"/>
        <color theme="1"/>
        <rFont val="Aptos Narrow"/>
        <family val="2"/>
      </rPr>
      <t>heavy duty</t>
    </r>
    <r>
      <rPr>
        <sz val="13"/>
        <color theme="1"/>
        <rFont val="Aptos Narrow"/>
        <family val="2"/>
      </rPr>
      <t xml:space="preserve"> side Pad locks for the shutters</t>
    </r>
  </si>
  <si>
    <t>Debris</t>
  </si>
  <si>
    <t>Removal of debris Including labour for loading &amp; Unloading, transport and cleaning</t>
  </si>
  <si>
    <t>Convenio / CDP</t>
  </si>
  <si>
    <t>Lumpsum</t>
  </si>
  <si>
    <t>Cleaning charges</t>
  </si>
  <si>
    <t>Cleaning the Outlet</t>
  </si>
  <si>
    <t>lumpsum</t>
  </si>
  <si>
    <t xml:space="preserve">Loading, unloading and cartage charges </t>
  </si>
  <si>
    <t>Loading, unloading and cartage charges for the glasses (LOCAL)</t>
  </si>
  <si>
    <t>CIVIL TOTAL</t>
  </si>
  <si>
    <t>CIVIL SUB TOTAL</t>
  </si>
  <si>
    <t>TOTAL IGST 18%</t>
  </si>
  <si>
    <t>TOTAL GST 18%</t>
  </si>
  <si>
    <t>CIVIL GRAND TOTAL</t>
  </si>
  <si>
    <t>Bank Details</t>
  </si>
  <si>
    <t>Ceritified that the particulars given above are true and correct</t>
  </si>
  <si>
    <t>Bank Name and A/C No. : HDFC BANK , 50200073035859</t>
  </si>
  <si>
    <t>For I FOUR U ENGINEERING SERVICES</t>
  </si>
  <si>
    <t>Terms and Conditions</t>
  </si>
  <si>
    <t>Common Seal</t>
  </si>
  <si>
    <t>Authorised Signatory</t>
  </si>
  <si>
    <t>No</t>
  </si>
  <si>
    <t>Glass Door lock</t>
  </si>
  <si>
    <t>Glass Door Lock -2 sided</t>
  </si>
  <si>
    <t xml:space="preserve">Column paneling </t>
  </si>
  <si>
    <t>EXTRA</t>
  </si>
  <si>
    <t>Office: House No. 329, New Karmik Nagar, PO ISM, Dhanbad,
Jharkhand, 826004,  +91 7042220470</t>
  </si>
  <si>
    <t xml:space="preserve">Bank IFSC and Address : HDFC0002679 , Sri Ram City, Saraidhela, Dhanbad- 828127 </t>
  </si>
  <si>
    <t>Providing and fixing 12.5mm thick gypboard ceiling surfaces in plain including G.I. suspenders of same make forming a grid of intermediate channel at 1220mm centre to centre with ceiling sections of 0.5MM heavy duty Guage fixed at 600mm centre to centre at rig all complete</t>
  </si>
  <si>
    <t>Providing &amp; applying of 2 coat of putty, One coat of Primer and Two coat of Royal  Emulsion Paint on Gypsum ceiling complete</t>
  </si>
  <si>
    <t>Providing &amp; applying of 2 coat of putty, One coat of Primer and Two coat of tractor Emulsion Paint on all  walls and Store and toilet  Ceilings complete</t>
  </si>
  <si>
    <r>
      <t xml:space="preserve">Providing &amp; applying of Enamel Paint with </t>
    </r>
    <r>
      <rPr>
        <b/>
        <sz val="13"/>
        <color theme="1"/>
        <rFont val="Aptos Narrow"/>
        <family val="2"/>
      </rPr>
      <t>asian paints</t>
    </r>
    <r>
      <rPr>
        <sz val="13"/>
        <color theme="1"/>
        <rFont val="Aptos Narrow"/>
        <family val="2"/>
      </rPr>
      <t xml:space="preserve"> with approved shade -2 Coats</t>
    </r>
  </si>
  <si>
    <t xml:space="preserve">Royal Emulsion Paint </t>
  </si>
  <si>
    <t xml:space="preserve">Tractor Emulsion Paint </t>
  </si>
  <si>
    <r>
      <t xml:space="preserve">Providing and fixing of frameless partition with door glazing consisting of </t>
    </r>
    <r>
      <rPr>
        <b/>
        <sz val="13"/>
        <color theme="1"/>
        <rFont val="Aptos Narrow"/>
        <family val="2"/>
      </rPr>
      <t>12mm clear toughened</t>
    </r>
    <r>
      <rPr>
        <sz val="13"/>
        <color theme="1"/>
        <rFont val="Aptos Narrow"/>
        <family val="2"/>
      </rPr>
      <t xml:space="preserve"> along with  all necessary Patch Fittings</t>
    </r>
  </si>
  <si>
    <t xml:space="preserve"> OZONE</t>
  </si>
  <si>
    <t>Providing &amp; fixing as per site requirements, made of 18mm thick ISI rated commercial plywood board of approved make with 1mm thick green (Merino -22223 CARIBEE ) laminate visible sides  as specified and agreed with framing included</t>
  </si>
  <si>
    <t xml:space="preserve">Providing &amp; fixing or closing the windows as per site requirements, made of 12 mm thick ISI rated commercial plywood board </t>
  </si>
  <si>
    <t xml:space="preserve">Providing &amp; fixing as per site requirements, made of 12 mm thick ISI rated commercial plywood board of approved make with 1mm thick  (Merino -22223 CARIBEE ) laminate visible sides.  with framing included. </t>
  </si>
  <si>
    <t>Nos</t>
  </si>
  <si>
    <t>Providing door matt Grey Shade -as per size</t>
  </si>
  <si>
    <t>APLC-004-24/25</t>
  </si>
  <si>
    <t>Akankha More , New Town</t>
  </si>
  <si>
    <t>W/0: APL/WB/CIVL/24-25/59</t>
  </si>
  <si>
    <t>Plot No.-IIC/3193, Category HIGI-II, Action Area-IIC, PO- New Town ,Near Akankha More, Kolkata -700160</t>
  </si>
  <si>
    <t>Gypsum Partition - Single Side</t>
  </si>
  <si>
    <t>Providing anf fixing gyspsum partition complete with taping and componding</t>
  </si>
  <si>
    <t>SS Poles</t>
  </si>
  <si>
    <t>10 mm glass shelves</t>
  </si>
  <si>
    <t>Diaper Hanging Rods</t>
  </si>
  <si>
    <t>Shutter alterations</t>
  </si>
  <si>
    <t>Modification and alterations as per site of Shutters</t>
  </si>
  <si>
    <t>Providing and Fixing 40 mm square SS poles complete with Top and Bottom flanges</t>
  </si>
  <si>
    <t>Providing and Fixing 10 mm clear float glass complete with edge polishing</t>
  </si>
  <si>
    <t>GI Hanging Rods</t>
  </si>
  <si>
    <t>local</t>
  </si>
  <si>
    <t>Door Matt</t>
  </si>
  <si>
    <t>Glass door stopper</t>
  </si>
  <si>
    <t>glass door profile</t>
  </si>
  <si>
    <t>Glass Door Stopper</t>
  </si>
  <si>
    <t>Glass door PVC profile</t>
  </si>
  <si>
    <t>DB RACKS</t>
  </si>
  <si>
    <t>SFT</t>
  </si>
  <si>
    <t>Providing anf fixing DB Rack as per design and finish with all necessary hardwares</t>
  </si>
  <si>
    <t>Rupees (In Words) : Six Lakhs Thirty Seven Thousand Nine Hundred Fifty Eight Rupees and Twenty Nine paisa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</si>
</sst>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 &quot;₹&quot;\ * #,##0.00_ ;_ &quot;₹&quot;\ * \-#,##0.00_ ;_ &quot;₹&quot;\ * &quot;-&quot;??_ ;_ @_ "/>
  </numFmts>
  <fonts count="3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20"/>
      <color theme="1"/>
      <name val="Bookman Old Style"/>
      <family val="1"/>
    </font>
    <font>
      <sz val="10"/>
      <name val="Arial"/>
      <family val="2"/>
    </font>
    <font>
      <b/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0"/>
      <color theme="1"/>
      <name val="Bookman Old Style"/>
      <family val="1"/>
    </font>
    <font>
      <b/>
      <sz val="12"/>
      <color theme="1"/>
      <name val="Calibri"/>
      <family val="2"/>
    </font>
    <font>
      <b/>
      <sz val="20"/>
      <color rgb="FFFFFFFF"/>
      <name val="Bookman Old Style"/>
      <family val="1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3"/>
      <color theme="1"/>
      <name val="Arial"/>
      <family val="2"/>
    </font>
    <font>
      <sz val="13"/>
      <color theme="1"/>
      <name val="Aptos Narrow"/>
      <family val="2"/>
    </font>
    <font>
      <b/>
      <sz val="13"/>
      <color theme="1"/>
      <name val="Aptos Narrow"/>
      <family val="2"/>
    </font>
    <font>
      <b/>
      <sz val="13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5"/>
      <color theme="1"/>
      <name val="Arial"/>
      <family val="2"/>
    </font>
    <font>
      <sz val="14"/>
      <color theme="1"/>
      <name val="Arial"/>
      <family val="2"/>
      <scheme val="minor"/>
    </font>
    <font>
      <sz val="9"/>
      <color theme="1"/>
      <name val="Calibri"/>
      <family val="2"/>
    </font>
    <font>
      <sz val="7"/>
      <color theme="1"/>
      <name val="Calibri"/>
      <family val="2"/>
    </font>
    <font>
      <b/>
      <sz val="15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rgb="FF1F1F1F"/>
      <name val="Bookman Old Style"/>
      <family val="1"/>
    </font>
    <font>
      <sz val="13"/>
      <color theme="1"/>
      <name val="Aptos Narrow"/>
      <family val="2"/>
    </font>
    <font>
      <b/>
      <sz val="13"/>
      <color theme="1"/>
      <name val="Aptos Narrow"/>
      <family val="2"/>
    </font>
    <font>
      <sz val="13"/>
      <color theme="1"/>
      <name val="Aptos Narrow"/>
    </font>
    <font>
      <b/>
      <sz val="10"/>
      <color rgb="FF0E2841"/>
      <name val="Arial"/>
      <family val="2"/>
    </font>
    <font>
      <b/>
      <sz val="10"/>
      <color rgb="FF000000"/>
      <name val="Arial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DB9CA"/>
        <bgColor rgb="FFADB9CA"/>
      </patternFill>
    </fill>
  </fills>
  <borders count="4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center"/>
    </xf>
    <xf numFmtId="0" fontId="1" fillId="0" borderId="4" xfId="0" applyFont="1" applyBorder="1"/>
    <xf numFmtId="0" fontId="4" fillId="0" borderId="0" xfId="0" applyFont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11" xfId="0" applyFont="1" applyBorder="1"/>
    <xf numFmtId="0" fontId="5" fillId="0" borderId="4" xfId="0" applyFont="1" applyBorder="1" applyAlignment="1">
      <alignment horizontal="left"/>
    </xf>
    <xf numFmtId="0" fontId="6" fillId="0" borderId="1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7" fillId="0" borderId="20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5" fillId="0" borderId="12" xfId="0" applyFont="1" applyBorder="1" applyAlignment="1">
      <alignment horizontal="center"/>
    </xf>
    <xf numFmtId="0" fontId="9" fillId="0" borderId="21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5" fillId="0" borderId="1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0" fillId="0" borderId="23" xfId="0" applyFont="1" applyBorder="1" applyAlignment="1">
      <alignment horizontal="center" wrapText="1"/>
    </xf>
    <xf numFmtId="0" fontId="11" fillId="0" borderId="24" xfId="0" applyFont="1" applyBorder="1" applyAlignment="1">
      <alignment horizontal="center" wrapText="1"/>
    </xf>
    <xf numFmtId="0" fontId="11" fillId="0" borderId="25" xfId="0" applyFont="1" applyBorder="1" applyAlignment="1">
      <alignment horizontal="center" wrapText="1"/>
    </xf>
    <xf numFmtId="0" fontId="10" fillId="0" borderId="25" xfId="0" applyFont="1" applyBorder="1" applyAlignment="1">
      <alignment horizontal="center" wrapText="1"/>
    </xf>
    <xf numFmtId="0" fontId="11" fillId="0" borderId="25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9" fillId="0" borderId="23" xfId="0" applyFont="1" applyBorder="1" applyAlignment="1">
      <alignment horizontal="center" wrapText="1"/>
    </xf>
    <xf numFmtId="0" fontId="9" fillId="0" borderId="24" xfId="0" applyFont="1" applyBorder="1" applyAlignment="1">
      <alignment horizontal="center" wrapText="1"/>
    </xf>
    <xf numFmtId="0" fontId="13" fillId="0" borderId="23" xfId="0" applyFont="1" applyBorder="1" applyAlignment="1">
      <alignment horizontal="center" wrapText="1"/>
    </xf>
    <xf numFmtId="0" fontId="14" fillId="0" borderId="24" xfId="0" applyFont="1" applyBorder="1" applyAlignment="1">
      <alignment horizontal="center" wrapText="1"/>
    </xf>
    <xf numFmtId="44" fontId="14" fillId="0" borderId="26" xfId="0" applyNumberFormat="1" applyFont="1" applyBorder="1" applyAlignment="1">
      <alignment horizontal="center"/>
    </xf>
    <xf numFmtId="0" fontId="14" fillId="0" borderId="25" xfId="0" applyFont="1" applyBorder="1"/>
    <xf numFmtId="0" fontId="14" fillId="0" borderId="24" xfId="0" applyFont="1" applyBorder="1" applyAlignment="1">
      <alignment horizontal="center"/>
    </xf>
    <xf numFmtId="0" fontId="14" fillId="2" borderId="24" xfId="0" applyFont="1" applyFill="1" applyBorder="1" applyAlignment="1">
      <alignment horizontal="center" wrapText="1"/>
    </xf>
    <xf numFmtId="0" fontId="14" fillId="0" borderId="4" xfId="0" applyFont="1" applyBorder="1"/>
    <xf numFmtId="0" fontId="14" fillId="0" borderId="27" xfId="0" applyFont="1" applyBorder="1"/>
    <xf numFmtId="0" fontId="15" fillId="0" borderId="25" xfId="0" applyFont="1" applyBorder="1" applyAlignment="1">
      <alignment horizontal="right" wrapText="1"/>
    </xf>
    <xf numFmtId="44" fontId="14" fillId="0" borderId="26" xfId="0" applyNumberFormat="1" applyFont="1" applyBorder="1"/>
    <xf numFmtId="0" fontId="14" fillId="0" borderId="30" xfId="0" applyFont="1" applyBorder="1"/>
    <xf numFmtId="0" fontId="14" fillId="0" borderId="31" xfId="0" applyFont="1" applyBorder="1"/>
    <xf numFmtId="0" fontId="17" fillId="0" borderId="4" xfId="0" applyFont="1" applyBorder="1"/>
    <xf numFmtId="0" fontId="17" fillId="0" borderId="4" xfId="0" applyFont="1" applyBorder="1" applyAlignment="1">
      <alignment horizontal="center"/>
    </xf>
    <xf numFmtId="0" fontId="19" fillId="0" borderId="20" xfId="0" applyFont="1" applyBorder="1"/>
    <xf numFmtId="0" fontId="21" fillId="0" borderId="0" xfId="0" applyFont="1" applyAlignment="1">
      <alignment horizontal="center"/>
    </xf>
    <xf numFmtId="0" fontId="22" fillId="0" borderId="4" xfId="0" applyFont="1" applyBorder="1"/>
    <xf numFmtId="0" fontId="19" fillId="0" borderId="21" xfId="0" applyFont="1" applyBorder="1"/>
    <xf numFmtId="0" fontId="7" fillId="2" borderId="0" xfId="0" applyFont="1" applyFill="1" applyAlignment="1">
      <alignment horizontal="center"/>
    </xf>
    <xf numFmtId="0" fontId="22" fillId="0" borderId="4" xfId="0" applyFont="1" applyBorder="1" applyAlignment="1">
      <alignment horizontal="center" vertical="top"/>
    </xf>
    <xf numFmtId="0" fontId="22" fillId="0" borderId="41" xfId="0" applyFont="1" applyBorder="1" applyAlignment="1">
      <alignment horizontal="center" vertical="top"/>
    </xf>
    <xf numFmtId="0" fontId="23" fillId="0" borderId="42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3" fillId="0" borderId="4" xfId="0" applyFont="1" applyBorder="1"/>
    <xf numFmtId="0" fontId="2" fillId="0" borderId="2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0" xfId="0" applyFont="1" applyAlignment="1">
      <alignment wrapText="1"/>
    </xf>
    <xf numFmtId="0" fontId="3" fillId="0" borderId="5" xfId="0" applyFont="1" applyBorder="1"/>
    <xf numFmtId="0" fontId="5" fillId="0" borderId="4" xfId="0" applyFont="1" applyBorder="1"/>
    <xf numFmtId="0" fontId="6" fillId="0" borderId="8" xfId="0" applyFont="1" applyBorder="1"/>
    <xf numFmtId="0" fontId="3" fillId="0" borderId="9" xfId="0" applyFont="1" applyBorder="1"/>
    <xf numFmtId="0" fontId="4" fillId="0" borderId="9" xfId="0" applyFont="1" applyBorder="1"/>
    <xf numFmtId="0" fontId="3" fillId="0" borderId="10" xfId="0" applyFont="1" applyBorder="1"/>
    <xf numFmtId="0" fontId="4" fillId="0" borderId="0" xfId="0" applyFont="1"/>
    <xf numFmtId="0" fontId="3" fillId="0" borderId="11" xfId="0" applyFont="1" applyBorder="1"/>
    <xf numFmtId="0" fontId="5" fillId="0" borderId="18" xfId="0" applyFont="1" applyBorder="1"/>
    <xf numFmtId="0" fontId="3" fillId="0" borderId="19" xfId="0" applyFont="1" applyBorder="1"/>
    <xf numFmtId="0" fontId="7" fillId="0" borderId="21" xfId="0" applyFont="1" applyBorder="1" applyAlignment="1">
      <alignment wrapText="1"/>
    </xf>
    <xf numFmtId="0" fontId="3" fillId="0" borderId="21" xfId="0" applyFont="1" applyBorder="1"/>
    <xf numFmtId="0" fontId="5" fillId="0" borderId="22" xfId="0" applyFont="1" applyBorder="1"/>
    <xf numFmtId="0" fontId="6" fillId="0" borderId="12" xfId="0" applyFont="1" applyBorder="1"/>
    <xf numFmtId="0" fontId="6" fillId="0" borderId="15" xfId="0" applyFont="1" applyBorder="1"/>
    <xf numFmtId="0" fontId="3" fillId="0" borderId="16" xfId="0" applyFont="1" applyBorder="1"/>
    <xf numFmtId="0" fontId="4" fillId="0" borderId="16" xfId="0" applyFont="1" applyBorder="1"/>
    <xf numFmtId="0" fontId="3" fillId="0" borderId="17" xfId="0" applyFont="1" applyBorder="1"/>
    <xf numFmtId="0" fontId="6" fillId="0" borderId="0" xfId="0" applyFont="1"/>
    <xf numFmtId="0" fontId="2" fillId="0" borderId="0" xfId="0" applyFont="1"/>
    <xf numFmtId="0" fontId="5" fillId="0" borderId="8" xfId="0" applyFont="1" applyBorder="1"/>
    <xf numFmtId="0" fontId="3" fillId="0" borderId="12" xfId="0" applyFont="1" applyBorder="1"/>
    <xf numFmtId="0" fontId="9" fillId="0" borderId="12" xfId="0" applyFont="1" applyBorder="1"/>
    <xf numFmtId="0" fontId="5" fillId="0" borderId="12" xfId="0" applyFont="1" applyBorder="1"/>
    <xf numFmtId="0" fontId="7" fillId="0" borderId="15" xfId="0" applyFont="1" applyBorder="1"/>
    <xf numFmtId="0" fontId="15" fillId="0" borderId="28" xfId="0" applyFont="1" applyBorder="1"/>
    <xf numFmtId="0" fontId="3" fillId="0" borderId="29" xfId="0" applyFont="1" applyBorder="1"/>
    <xf numFmtId="0" fontId="3" fillId="0" borderId="24" xfId="0" applyFont="1" applyBorder="1"/>
    <xf numFmtId="0" fontId="15" fillId="0" borderId="28" xfId="0" applyFont="1" applyBorder="1" applyAlignment="1">
      <alignment wrapText="1"/>
    </xf>
    <xf numFmtId="0" fontId="16" fillId="0" borderId="28" xfId="0" applyFont="1" applyBorder="1"/>
    <xf numFmtId="0" fontId="15" fillId="0" borderId="32" xfId="0" applyFont="1" applyBorder="1"/>
    <xf numFmtId="0" fontId="3" fillId="0" borderId="33" xfId="0" applyFont="1" applyBorder="1"/>
    <xf numFmtId="0" fontId="3" fillId="0" borderId="34" xfId="0" applyFont="1" applyBorder="1"/>
    <xf numFmtId="0" fontId="18" fillId="0" borderId="18" xfId="0" applyFont="1" applyBorder="1"/>
    <xf numFmtId="0" fontId="3" fillId="0" borderId="36" xfId="0" applyFont="1" applyBorder="1"/>
    <xf numFmtId="0" fontId="23" fillId="0" borderId="43" xfId="0" applyFont="1" applyBorder="1" applyAlignment="1">
      <alignment vertical="top"/>
    </xf>
    <xf numFmtId="0" fontId="3" fillId="0" borderId="44" xfId="0" applyFont="1" applyBorder="1"/>
    <xf numFmtId="0" fontId="23" fillId="3" borderId="43" xfId="0" applyFont="1" applyFill="1" applyBorder="1"/>
    <xf numFmtId="0" fontId="3" fillId="0" borderId="45" xfId="0" applyFont="1" applyBorder="1"/>
    <xf numFmtId="0" fontId="3" fillId="0" borderId="46" xfId="0" applyFont="1" applyBorder="1"/>
    <xf numFmtId="0" fontId="22" fillId="0" borderId="4" xfId="0" applyFont="1" applyBorder="1" applyAlignment="1">
      <alignment vertical="top"/>
    </xf>
    <xf numFmtId="0" fontId="3" fillId="0" borderId="13" xfId="0" applyFont="1" applyBorder="1"/>
    <xf numFmtId="0" fontId="3" fillId="0" borderId="14" xfId="0" applyFont="1" applyBorder="1"/>
    <xf numFmtId="0" fontId="17" fillId="0" borderId="18" xfId="0" applyFont="1" applyBorder="1"/>
    <xf numFmtId="0" fontId="3" fillId="0" borderId="37" xfId="0" applyFont="1" applyBorder="1"/>
    <xf numFmtId="0" fontId="19" fillId="0" borderId="8" xfId="0" applyFont="1" applyBorder="1"/>
    <xf numFmtId="0" fontId="3" fillId="0" borderId="7" xfId="0" applyFont="1" applyBorder="1"/>
    <xf numFmtId="0" fontId="20" fillId="0" borderId="8" xfId="0" applyFont="1" applyBorder="1"/>
    <xf numFmtId="0" fontId="23" fillId="3" borderId="38" xfId="0" applyFont="1" applyFill="1" applyBorder="1"/>
    <xf numFmtId="0" fontId="3" fillId="0" borderId="39" xfId="0" applyFont="1" applyBorder="1"/>
    <xf numFmtId="0" fontId="3" fillId="0" borderId="40" xfId="0" applyFont="1" applyBorder="1"/>
    <xf numFmtId="0" fontId="23" fillId="0" borderId="12" xfId="0" applyFont="1" applyBorder="1"/>
    <xf numFmtId="44" fontId="26" fillId="0" borderId="35" xfId="0" applyNumberFormat="1" applyFont="1" applyBorder="1" applyAlignment="1">
      <alignment horizontal="center"/>
    </xf>
    <xf numFmtId="0" fontId="14" fillId="0" borderId="24" xfId="0" applyFont="1" applyBorder="1" applyAlignment="1">
      <alignment horizontal="center" vertical="center" wrapText="1"/>
    </xf>
    <xf numFmtId="0" fontId="25" fillId="0" borderId="25" xfId="0" applyFont="1" applyBorder="1" applyAlignment="1">
      <alignment vertical="center" wrapText="1"/>
    </xf>
    <xf numFmtId="14" fontId="5" fillId="0" borderId="14" xfId="0" applyNumberFormat="1" applyFont="1" applyBorder="1" applyAlignment="1">
      <alignment horizontal="left"/>
    </xf>
    <xf numFmtId="0" fontId="14" fillId="0" borderId="25" xfId="0" applyFont="1" applyBorder="1" applyAlignment="1">
      <alignment vertical="center" wrapText="1"/>
    </xf>
    <xf numFmtId="0" fontId="9" fillId="0" borderId="18" xfId="0" applyFont="1" applyBorder="1"/>
    <xf numFmtId="0" fontId="12" fillId="0" borderId="25" xfId="0" applyFont="1" applyBorder="1" applyAlignment="1">
      <alignment vertical="center"/>
    </xf>
    <xf numFmtId="0" fontId="11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vertical="center"/>
    </xf>
    <xf numFmtId="0" fontId="14" fillId="0" borderId="25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44" fontId="14" fillId="0" borderId="26" xfId="0" applyNumberFormat="1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 wrapText="1"/>
    </xf>
    <xf numFmtId="0" fontId="14" fillId="0" borderId="25" xfId="0" applyFont="1" applyBorder="1" applyAlignment="1">
      <alignment vertical="center"/>
    </xf>
    <xf numFmtId="0" fontId="27" fillId="0" borderId="25" xfId="0" applyFont="1" applyBorder="1" applyAlignment="1">
      <alignment vertical="center"/>
    </xf>
    <xf numFmtId="0" fontId="27" fillId="0" borderId="25" xfId="0" applyFont="1" applyBorder="1" applyAlignment="1">
      <alignment vertical="center" wrapText="1"/>
    </xf>
    <xf numFmtId="0" fontId="14" fillId="2" borderId="25" xfId="0" applyFont="1" applyFill="1" applyBorder="1" applyAlignment="1">
      <alignment vertical="center" wrapText="1"/>
    </xf>
    <xf numFmtId="0" fontId="14" fillId="2" borderId="25" xfId="0" applyFont="1" applyFill="1" applyBorder="1" applyAlignment="1">
      <alignment vertical="center"/>
    </xf>
    <xf numFmtId="0" fontId="14" fillId="2" borderId="25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44" fontId="14" fillId="2" borderId="26" xfId="0" applyNumberFormat="1" applyFont="1" applyFill="1" applyBorder="1" applyAlignment="1">
      <alignment horizontal="center" vertical="center"/>
    </xf>
    <xf numFmtId="0" fontId="13" fillId="0" borderId="47" xfId="0" applyFont="1" applyFill="1" applyBorder="1" applyAlignment="1">
      <alignment horizontal="center" wrapText="1"/>
    </xf>
    <xf numFmtId="0" fontId="27" fillId="0" borderId="25" xfId="0" applyFont="1" applyBorder="1" applyAlignment="1">
      <alignment horizontal="center" vertical="center" wrapText="1"/>
    </xf>
    <xf numFmtId="14" fontId="4" fillId="0" borderId="0" xfId="0" applyNumberFormat="1" applyFont="1" applyAlignment="1">
      <alignment vertical="center"/>
    </xf>
    <xf numFmtId="0" fontId="14" fillId="0" borderId="48" xfId="0" applyFont="1" applyFill="1" applyBorder="1" applyAlignment="1">
      <alignment horizontal="center" vertical="center"/>
    </xf>
    <xf numFmtId="49" fontId="28" fillId="2" borderId="12" xfId="0" applyNumberFormat="1" applyFont="1" applyFill="1" applyBorder="1" applyAlignment="1">
      <alignment horizontal="left" vertical="top" wrapText="1"/>
    </xf>
    <xf numFmtId="0" fontId="29" fillId="0" borderId="0" xfId="0" applyFont="1" applyAlignment="1">
      <alignment wrapText="1"/>
    </xf>
    <xf numFmtId="0" fontId="30" fillId="0" borderId="11" xfId="0" applyFont="1" applyBorder="1" applyAlignment="1">
      <alignment wrapText="1"/>
    </xf>
    <xf numFmtId="0" fontId="30" fillId="0" borderId="1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44450</xdr:rowOff>
    </xdr:from>
    <xdr:ext cx="1066800" cy="5207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27150" y="44450"/>
          <a:ext cx="1066800" cy="520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R67"/>
  <sheetViews>
    <sheetView tabSelected="1" topLeftCell="A48" workbookViewId="0">
      <selection activeCell="B56" sqref="B56"/>
    </sheetView>
  </sheetViews>
  <sheetFormatPr defaultColWidth="12.6640625" defaultRowHeight="15.75" customHeight="1"/>
  <cols>
    <col min="1" max="2" width="17.88671875" customWidth="1"/>
    <col min="3" max="3" width="59" customWidth="1"/>
    <col min="7" max="7" width="13.44140625" bestFit="1" customWidth="1"/>
    <col min="9" max="9" width="18.77734375" customWidth="1"/>
  </cols>
  <sheetData>
    <row r="1" spans="1:18" ht="15.75" customHeight="1" thickTop="1">
      <c r="A1" s="1"/>
      <c r="B1" s="1"/>
      <c r="C1" s="55" t="s">
        <v>0</v>
      </c>
      <c r="D1" s="56"/>
      <c r="E1" s="56"/>
      <c r="F1" s="56"/>
      <c r="G1" s="56"/>
      <c r="H1" s="56"/>
      <c r="I1" s="57"/>
      <c r="J1" s="2"/>
      <c r="K1" s="2"/>
    </row>
    <row r="2" spans="1:18" ht="15.75" customHeight="1">
      <c r="A2" s="3"/>
      <c r="B2" s="54"/>
      <c r="C2" s="58" t="s">
        <v>88</v>
      </c>
      <c r="I2" s="59"/>
      <c r="J2" s="4"/>
      <c r="K2" s="2"/>
    </row>
    <row r="3" spans="1:18" ht="15.75" customHeight="1" thickBot="1">
      <c r="A3" s="5"/>
      <c r="B3" s="60" t="s">
        <v>1</v>
      </c>
      <c r="I3" s="59"/>
      <c r="J3" s="4"/>
      <c r="K3" s="4"/>
    </row>
    <row r="4" spans="1:18" ht="15.75" customHeight="1">
      <c r="A4" s="6"/>
      <c r="B4" s="7" t="s">
        <v>2</v>
      </c>
      <c r="C4" s="8" t="s">
        <v>103</v>
      </c>
      <c r="D4" s="2"/>
      <c r="E4" s="61" t="s">
        <v>3</v>
      </c>
      <c r="F4" s="62"/>
      <c r="G4" s="63" t="s">
        <v>4</v>
      </c>
      <c r="H4" s="62"/>
      <c r="I4" s="64"/>
      <c r="J4" s="9"/>
      <c r="K4" s="9"/>
    </row>
    <row r="5" spans="1:18" ht="15.75" customHeight="1">
      <c r="A5" s="5"/>
      <c r="B5" s="5" t="s">
        <v>5</v>
      </c>
      <c r="C5" s="10" t="s">
        <v>6</v>
      </c>
      <c r="D5" s="2"/>
      <c r="E5" s="72" t="s">
        <v>7</v>
      </c>
      <c r="G5" s="65" t="s">
        <v>8</v>
      </c>
      <c r="I5" s="59"/>
      <c r="J5" s="9"/>
      <c r="K5" s="9"/>
    </row>
    <row r="6" spans="1:18" ht="15.75" customHeight="1">
      <c r="A6" s="11"/>
      <c r="B6" s="60" t="s">
        <v>9</v>
      </c>
      <c r="C6" s="66"/>
      <c r="D6" s="2"/>
      <c r="E6" s="72" t="s">
        <v>10</v>
      </c>
      <c r="G6" s="136">
        <v>45695</v>
      </c>
      <c r="I6" s="59"/>
      <c r="J6" s="9"/>
      <c r="K6" s="9"/>
    </row>
    <row r="7" spans="1:18" ht="15.75" customHeight="1" thickBot="1">
      <c r="A7" s="6"/>
      <c r="B7" s="12" t="s">
        <v>11</v>
      </c>
      <c r="C7" s="114">
        <v>45695</v>
      </c>
      <c r="D7" s="2"/>
      <c r="E7" s="73" t="s">
        <v>12</v>
      </c>
      <c r="F7" s="74"/>
      <c r="G7" s="75" t="s">
        <v>104</v>
      </c>
      <c r="H7" s="74"/>
      <c r="I7" s="76"/>
    </row>
    <row r="8" spans="1:18" ht="15.75" customHeight="1" thickBot="1">
      <c r="A8" s="13"/>
      <c r="B8" s="13"/>
      <c r="C8" s="2"/>
      <c r="D8" s="2"/>
      <c r="E8" s="77"/>
      <c r="G8" s="78"/>
      <c r="I8" s="59"/>
    </row>
    <row r="9" spans="1:18" ht="15.75" customHeight="1" thickBot="1">
      <c r="A9" s="11"/>
      <c r="B9" s="67" t="s">
        <v>13</v>
      </c>
      <c r="C9" s="68"/>
      <c r="D9" s="2"/>
      <c r="E9" s="79" t="s">
        <v>14</v>
      </c>
      <c r="F9" s="62"/>
      <c r="G9" s="62"/>
      <c r="H9" s="62"/>
      <c r="I9" s="64"/>
    </row>
    <row r="10" spans="1:18" ht="15.75" customHeight="1">
      <c r="A10" s="5"/>
      <c r="B10" s="5" t="s">
        <v>15</v>
      </c>
      <c r="C10" s="14" t="s">
        <v>16</v>
      </c>
      <c r="D10" s="2"/>
      <c r="E10" s="15" t="s">
        <v>15</v>
      </c>
      <c r="F10" s="14" t="s">
        <v>16</v>
      </c>
      <c r="G10" s="62"/>
      <c r="H10" s="62"/>
      <c r="I10" s="64"/>
      <c r="J10" s="16"/>
      <c r="K10" s="16"/>
      <c r="L10" s="16"/>
      <c r="M10" s="16"/>
      <c r="N10" s="16"/>
      <c r="O10" s="16"/>
      <c r="P10" s="16"/>
      <c r="Q10" s="16"/>
      <c r="R10" s="16"/>
    </row>
    <row r="11" spans="1:18" ht="15.75" customHeight="1">
      <c r="A11" s="5"/>
      <c r="B11" s="5" t="s">
        <v>17</v>
      </c>
      <c r="C11" s="69" t="s">
        <v>18</v>
      </c>
      <c r="D11" s="2"/>
      <c r="E11" s="17" t="s">
        <v>17</v>
      </c>
      <c r="F11" s="138" t="s">
        <v>106</v>
      </c>
      <c r="G11" s="139"/>
      <c r="H11" s="139"/>
      <c r="I11" s="140"/>
    </row>
    <row r="12" spans="1:18" ht="15.75" customHeight="1">
      <c r="A12" s="5"/>
      <c r="B12" s="5"/>
      <c r="C12" s="70"/>
      <c r="D12" s="2"/>
      <c r="E12" s="17"/>
      <c r="F12" s="141"/>
      <c r="G12" s="139"/>
      <c r="H12" s="139"/>
      <c r="I12" s="140"/>
    </row>
    <row r="13" spans="1:18" ht="15.75" customHeight="1">
      <c r="A13" s="5"/>
      <c r="B13" s="5" t="s">
        <v>19</v>
      </c>
      <c r="C13" s="18" t="s">
        <v>20</v>
      </c>
      <c r="D13" s="2"/>
      <c r="E13" s="17" t="s">
        <v>19</v>
      </c>
      <c r="F13" s="81" t="s">
        <v>20</v>
      </c>
      <c r="I13" s="59"/>
    </row>
    <row r="14" spans="1:18" ht="15.75" customHeight="1">
      <c r="A14" s="5"/>
      <c r="B14" s="5" t="s">
        <v>21</v>
      </c>
      <c r="C14" s="19">
        <v>19</v>
      </c>
      <c r="D14" s="2"/>
      <c r="E14" s="17" t="s">
        <v>21</v>
      </c>
      <c r="F14" s="82">
        <v>19</v>
      </c>
      <c r="I14" s="59"/>
    </row>
    <row r="15" spans="1:18" ht="15.75" customHeight="1" thickBot="1">
      <c r="A15" s="5"/>
      <c r="B15" s="5" t="s">
        <v>22</v>
      </c>
      <c r="C15" s="20" t="s">
        <v>23</v>
      </c>
      <c r="D15" s="2"/>
      <c r="E15" s="21" t="s">
        <v>22</v>
      </c>
      <c r="F15" s="83" t="s">
        <v>23</v>
      </c>
      <c r="G15" s="74"/>
      <c r="H15" s="74"/>
      <c r="I15" s="76"/>
    </row>
    <row r="16" spans="1:18" ht="15.75" customHeight="1" thickBot="1">
      <c r="A16" s="13"/>
      <c r="B16" s="71" t="s">
        <v>105</v>
      </c>
      <c r="C16" s="68"/>
      <c r="D16" s="2"/>
      <c r="E16" s="2"/>
      <c r="F16" s="2"/>
      <c r="G16" s="2"/>
      <c r="H16" s="2"/>
      <c r="I16" s="22"/>
    </row>
    <row r="17" spans="1:9" ht="15.75" customHeight="1" thickBot="1">
      <c r="A17" s="13"/>
      <c r="B17" s="13"/>
      <c r="C17" s="2"/>
      <c r="D17" s="2"/>
      <c r="E17" s="2"/>
      <c r="F17" s="2"/>
      <c r="G17" s="2"/>
      <c r="H17" s="2"/>
      <c r="I17" s="22"/>
    </row>
    <row r="18" spans="1:9" ht="15.75" customHeight="1" thickBot="1">
      <c r="A18" s="23" t="s">
        <v>24</v>
      </c>
      <c r="B18" s="24" t="s">
        <v>25</v>
      </c>
      <c r="C18" s="25" t="s">
        <v>26</v>
      </c>
      <c r="D18" s="26" t="s">
        <v>27</v>
      </c>
      <c r="E18" s="25" t="s">
        <v>28</v>
      </c>
      <c r="F18" s="27" t="s">
        <v>29</v>
      </c>
      <c r="G18" s="27" t="s">
        <v>30</v>
      </c>
      <c r="H18" s="27" t="s">
        <v>31</v>
      </c>
      <c r="I18" s="28" t="s">
        <v>32</v>
      </c>
    </row>
    <row r="19" spans="1:9" ht="15.75" customHeight="1" thickBot="1">
      <c r="A19" s="29"/>
      <c r="B19" s="30" t="s">
        <v>33</v>
      </c>
      <c r="C19" s="117"/>
      <c r="D19" s="117"/>
      <c r="E19" s="117"/>
      <c r="F19" s="117"/>
      <c r="G19" s="118"/>
      <c r="H19" s="117"/>
      <c r="I19" s="119"/>
    </row>
    <row r="20" spans="1:9" ht="101.55" customHeight="1" thickBot="1">
      <c r="A20" s="31">
        <v>1</v>
      </c>
      <c r="B20" s="112" t="s">
        <v>34</v>
      </c>
      <c r="C20" s="120" t="s">
        <v>90</v>
      </c>
      <c r="D20" s="121">
        <v>998391</v>
      </c>
      <c r="E20" s="120" t="s">
        <v>35</v>
      </c>
      <c r="F20" s="122" t="s">
        <v>36</v>
      </c>
      <c r="G20" s="122">
        <v>70</v>
      </c>
      <c r="H20" s="123">
        <v>860.87</v>
      </c>
      <c r="I20" s="124">
        <f>G20*H20</f>
        <v>60260.9</v>
      </c>
    </row>
    <row r="21" spans="1:9" ht="81" customHeight="1" thickBot="1">
      <c r="A21" s="31">
        <v>2</v>
      </c>
      <c r="B21" s="112" t="s">
        <v>94</v>
      </c>
      <c r="C21" s="120" t="s">
        <v>91</v>
      </c>
      <c r="D21" s="121">
        <v>998391</v>
      </c>
      <c r="E21" s="125" t="s">
        <v>37</v>
      </c>
      <c r="F21" s="122" t="s">
        <v>36</v>
      </c>
      <c r="G21" s="122">
        <v>34</v>
      </c>
      <c r="H21" s="123">
        <v>833.03</v>
      </c>
      <c r="I21" s="124">
        <f>G21*H21</f>
        <v>28323.02</v>
      </c>
    </row>
    <row r="22" spans="1:9" ht="101.4" thickBot="1">
      <c r="A22" s="31">
        <v>3</v>
      </c>
      <c r="B22" s="112" t="s">
        <v>95</v>
      </c>
      <c r="C22" s="120" t="s">
        <v>92</v>
      </c>
      <c r="D22" s="121">
        <v>998391</v>
      </c>
      <c r="E22" s="125" t="s">
        <v>38</v>
      </c>
      <c r="F22" s="122" t="s">
        <v>36</v>
      </c>
      <c r="G22" s="122">
        <v>25</v>
      </c>
      <c r="H22" s="122">
        <v>595.91999999999996</v>
      </c>
      <c r="I22" s="124">
        <f t="shared" ref="I22:I24" si="0">G22*H22</f>
        <v>14897.999999999998</v>
      </c>
    </row>
    <row r="23" spans="1:9" ht="51" thickBot="1">
      <c r="A23" s="31">
        <v>4</v>
      </c>
      <c r="B23" s="32" t="s">
        <v>39</v>
      </c>
      <c r="C23" s="115" t="s">
        <v>93</v>
      </c>
      <c r="D23" s="121">
        <v>998391</v>
      </c>
      <c r="E23" s="120" t="s">
        <v>40</v>
      </c>
      <c r="F23" s="122" t="s">
        <v>36</v>
      </c>
      <c r="G23" s="122">
        <v>15</v>
      </c>
      <c r="H23" s="122">
        <v>761.45</v>
      </c>
      <c r="I23" s="124">
        <f t="shared" si="0"/>
        <v>11421.75</v>
      </c>
    </row>
    <row r="24" spans="1:9" ht="72.599999999999994" customHeight="1" thickBot="1">
      <c r="A24" s="31">
        <v>5</v>
      </c>
      <c r="B24" s="32" t="s">
        <v>107</v>
      </c>
      <c r="C24" s="115" t="s">
        <v>108</v>
      </c>
      <c r="D24" s="121">
        <v>989391</v>
      </c>
      <c r="E24" s="120" t="s">
        <v>35</v>
      </c>
      <c r="F24" s="122" t="s">
        <v>36</v>
      </c>
      <c r="G24" s="122">
        <v>75</v>
      </c>
      <c r="H24" s="122">
        <v>118.27</v>
      </c>
      <c r="I24" s="124">
        <f t="shared" si="0"/>
        <v>8870.25</v>
      </c>
    </row>
    <row r="25" spans="1:9" ht="51" thickBot="1">
      <c r="A25" s="31">
        <v>7</v>
      </c>
      <c r="B25" s="112" t="s">
        <v>41</v>
      </c>
      <c r="C25" s="113" t="s">
        <v>96</v>
      </c>
      <c r="D25" s="121">
        <v>998391</v>
      </c>
      <c r="E25" s="135" t="s">
        <v>97</v>
      </c>
      <c r="F25" s="122" t="s">
        <v>36</v>
      </c>
      <c r="G25" s="122">
        <v>420</v>
      </c>
      <c r="H25" s="123">
        <v>248.78</v>
      </c>
      <c r="I25" s="124">
        <f>G25*H25</f>
        <v>104487.6</v>
      </c>
    </row>
    <row r="26" spans="1:9" ht="28.8" customHeight="1" thickBot="1">
      <c r="A26" s="31">
        <v>8</v>
      </c>
      <c r="B26" s="35" t="s">
        <v>84</v>
      </c>
      <c r="C26" s="115" t="s">
        <v>85</v>
      </c>
      <c r="D26" s="121">
        <v>998391</v>
      </c>
      <c r="E26" s="120" t="s">
        <v>44</v>
      </c>
      <c r="F26" s="122" t="s">
        <v>83</v>
      </c>
      <c r="G26" s="122">
        <v>1</v>
      </c>
      <c r="H26" s="123">
        <v>2000</v>
      </c>
      <c r="I26" s="124">
        <f>G26*H26</f>
        <v>2000</v>
      </c>
    </row>
    <row r="27" spans="1:9" ht="67.8" thickBot="1">
      <c r="A27" s="31">
        <v>9</v>
      </c>
      <c r="B27" s="32" t="s">
        <v>42</v>
      </c>
      <c r="C27" s="115" t="s">
        <v>43</v>
      </c>
      <c r="D27" s="121">
        <v>998391</v>
      </c>
      <c r="E27" s="125" t="s">
        <v>44</v>
      </c>
      <c r="F27" s="122" t="s">
        <v>101</v>
      </c>
      <c r="G27" s="122">
        <v>1400</v>
      </c>
      <c r="H27" s="122">
        <v>2</v>
      </c>
      <c r="I27" s="124">
        <f t="shared" ref="I27:I48" si="1">G27*H27</f>
        <v>2800</v>
      </c>
    </row>
    <row r="28" spans="1:9" ht="51" thickBot="1">
      <c r="A28" s="31">
        <v>10</v>
      </c>
      <c r="B28" s="32" t="s">
        <v>45</v>
      </c>
      <c r="C28" s="115" t="s">
        <v>46</v>
      </c>
      <c r="D28" s="121">
        <v>998391</v>
      </c>
      <c r="E28" s="120" t="s">
        <v>44</v>
      </c>
      <c r="F28" s="122" t="s">
        <v>101</v>
      </c>
      <c r="G28" s="122">
        <v>10000</v>
      </c>
      <c r="H28" s="122">
        <v>1</v>
      </c>
      <c r="I28" s="124">
        <f t="shared" si="1"/>
        <v>10000</v>
      </c>
    </row>
    <row r="29" spans="1:9" ht="34.200000000000003" thickBot="1">
      <c r="A29" s="31">
        <v>11</v>
      </c>
      <c r="B29" s="32" t="s">
        <v>47</v>
      </c>
      <c r="C29" s="115" t="s">
        <v>48</v>
      </c>
      <c r="D29" s="121">
        <v>998391</v>
      </c>
      <c r="E29" s="120" t="s">
        <v>44</v>
      </c>
      <c r="F29" s="122" t="s">
        <v>101</v>
      </c>
      <c r="G29" s="122">
        <v>2300</v>
      </c>
      <c r="H29" s="122">
        <v>1</v>
      </c>
      <c r="I29" s="124">
        <f t="shared" si="1"/>
        <v>2300</v>
      </c>
    </row>
    <row r="30" spans="1:9" ht="37.200000000000003" customHeight="1" thickBot="1">
      <c r="A30" s="31">
        <v>12</v>
      </c>
      <c r="B30" s="32" t="s">
        <v>49</v>
      </c>
      <c r="C30" s="126" t="s">
        <v>50</v>
      </c>
      <c r="D30" s="121">
        <v>998391</v>
      </c>
      <c r="E30" s="120" t="s">
        <v>44</v>
      </c>
      <c r="F30" s="122" t="s">
        <v>101</v>
      </c>
      <c r="G30" s="122">
        <v>4000</v>
      </c>
      <c r="H30" s="122">
        <v>2</v>
      </c>
      <c r="I30" s="124">
        <f>G30*H30</f>
        <v>8000</v>
      </c>
    </row>
    <row r="31" spans="1:9" ht="30.6" customHeight="1" thickBot="1">
      <c r="A31" s="31">
        <v>13</v>
      </c>
      <c r="B31" s="35" t="s">
        <v>51</v>
      </c>
      <c r="C31" s="127" t="s">
        <v>52</v>
      </c>
      <c r="D31" s="121">
        <v>998391</v>
      </c>
      <c r="E31" s="125" t="s">
        <v>44</v>
      </c>
      <c r="F31" s="122" t="s">
        <v>101</v>
      </c>
      <c r="G31" s="122">
        <v>2000</v>
      </c>
      <c r="H31" s="122">
        <v>1</v>
      </c>
      <c r="I31" s="124">
        <f>H31*G31</f>
        <v>2000</v>
      </c>
    </row>
    <row r="32" spans="1:9" ht="70.8" customHeight="1" thickBot="1">
      <c r="A32" s="31">
        <v>14</v>
      </c>
      <c r="B32" s="35" t="s">
        <v>109</v>
      </c>
      <c r="C32" s="128" t="s">
        <v>114</v>
      </c>
      <c r="D32" s="121">
        <v>998391</v>
      </c>
      <c r="E32" s="120" t="s">
        <v>117</v>
      </c>
      <c r="F32" s="122"/>
      <c r="G32" s="137">
        <v>475</v>
      </c>
      <c r="H32" s="122">
        <v>79.680000000000007</v>
      </c>
      <c r="I32" s="124">
        <f>H32*G32</f>
        <v>37848</v>
      </c>
    </row>
    <row r="33" spans="1:9" ht="70.8" customHeight="1" thickBot="1">
      <c r="A33" s="31">
        <v>15</v>
      </c>
      <c r="B33" s="32" t="s">
        <v>110</v>
      </c>
      <c r="C33" s="128" t="s">
        <v>115</v>
      </c>
      <c r="D33" s="121">
        <v>998391</v>
      </c>
      <c r="E33" s="120" t="s">
        <v>117</v>
      </c>
      <c r="F33" s="122"/>
      <c r="G33" s="122">
        <v>155</v>
      </c>
      <c r="H33" s="122">
        <v>105</v>
      </c>
      <c r="I33" s="124">
        <f>G33*H33</f>
        <v>16275</v>
      </c>
    </row>
    <row r="34" spans="1:9" ht="70.8" customHeight="1" thickBot="1">
      <c r="A34" s="31">
        <v>16</v>
      </c>
      <c r="B34" s="32" t="s">
        <v>111</v>
      </c>
      <c r="C34" s="127" t="s">
        <v>116</v>
      </c>
      <c r="D34" s="121">
        <v>998391</v>
      </c>
      <c r="E34" s="120" t="s">
        <v>117</v>
      </c>
      <c r="F34" s="122"/>
      <c r="G34" s="122">
        <v>200</v>
      </c>
      <c r="H34" s="122">
        <v>24</v>
      </c>
      <c r="I34" s="124">
        <f>H34*G34</f>
        <v>4800</v>
      </c>
    </row>
    <row r="35" spans="1:9" ht="84.6" thickBot="1">
      <c r="A35" s="31">
        <v>17</v>
      </c>
      <c r="B35" s="32" t="s">
        <v>54</v>
      </c>
      <c r="C35" s="113" t="s">
        <v>98</v>
      </c>
      <c r="D35" s="121">
        <v>998391</v>
      </c>
      <c r="E35" s="125" t="s">
        <v>55</v>
      </c>
      <c r="F35" s="122" t="s">
        <v>36</v>
      </c>
      <c r="G35" s="122">
        <v>430</v>
      </c>
      <c r="H35" s="123">
        <v>320.57</v>
      </c>
      <c r="I35" s="124">
        <f>G35*H35</f>
        <v>137845.1</v>
      </c>
    </row>
    <row r="36" spans="1:9" ht="51" thickBot="1">
      <c r="A36" s="31">
        <v>18</v>
      </c>
      <c r="B36" s="112" t="s">
        <v>56</v>
      </c>
      <c r="C36" s="113" t="s">
        <v>99</v>
      </c>
      <c r="D36" s="121">
        <v>998391</v>
      </c>
      <c r="E36" s="120" t="s">
        <v>57</v>
      </c>
      <c r="F36" s="122" t="s">
        <v>36</v>
      </c>
      <c r="G36" s="122">
        <v>170</v>
      </c>
      <c r="H36" s="122">
        <v>36.4</v>
      </c>
      <c r="I36" s="124">
        <f t="shared" si="1"/>
        <v>6188</v>
      </c>
    </row>
    <row r="37" spans="1:9" ht="84.6" thickBot="1">
      <c r="A37" s="31">
        <v>19</v>
      </c>
      <c r="B37" s="112" t="s">
        <v>86</v>
      </c>
      <c r="C37" s="113" t="s">
        <v>100</v>
      </c>
      <c r="D37" s="121">
        <v>998391</v>
      </c>
      <c r="E37" s="135" t="s">
        <v>55</v>
      </c>
      <c r="F37" s="122" t="s">
        <v>36</v>
      </c>
      <c r="G37" s="122">
        <v>310</v>
      </c>
      <c r="H37" s="123">
        <v>88.9</v>
      </c>
      <c r="I37" s="124">
        <f t="shared" si="1"/>
        <v>27559</v>
      </c>
    </row>
    <row r="38" spans="1:9" ht="36.6" customHeight="1" thickBot="1">
      <c r="A38" s="31">
        <v>20</v>
      </c>
      <c r="B38" s="112" t="s">
        <v>123</v>
      </c>
      <c r="C38" s="115" t="s">
        <v>125</v>
      </c>
      <c r="D38" s="121">
        <v>998391</v>
      </c>
      <c r="E38" s="135" t="s">
        <v>55</v>
      </c>
      <c r="F38" s="122" t="s">
        <v>124</v>
      </c>
      <c r="G38" s="122">
        <v>1200</v>
      </c>
      <c r="H38" s="123">
        <v>20.18</v>
      </c>
      <c r="I38" s="124">
        <f t="shared" si="1"/>
        <v>24216</v>
      </c>
    </row>
    <row r="39" spans="1:9" ht="34.200000000000003" thickBot="1">
      <c r="A39" s="31">
        <v>21</v>
      </c>
      <c r="B39" s="32" t="s">
        <v>58</v>
      </c>
      <c r="C39" s="115" t="s">
        <v>59</v>
      </c>
      <c r="D39" s="121">
        <v>998391</v>
      </c>
      <c r="E39" s="135" t="s">
        <v>53</v>
      </c>
      <c r="F39" s="122" t="s">
        <v>101</v>
      </c>
      <c r="G39" s="122">
        <v>1500</v>
      </c>
      <c r="H39" s="122">
        <v>4</v>
      </c>
      <c r="I39" s="124">
        <f t="shared" si="1"/>
        <v>6000</v>
      </c>
    </row>
    <row r="40" spans="1:9" ht="34.200000000000003" thickBot="1">
      <c r="A40" s="31">
        <v>22</v>
      </c>
      <c r="B40" s="32" t="s">
        <v>60</v>
      </c>
      <c r="C40" s="115" t="s">
        <v>61</v>
      </c>
      <c r="D40" s="121">
        <v>998391</v>
      </c>
      <c r="E40" s="120" t="s">
        <v>53</v>
      </c>
      <c r="F40" s="122" t="s">
        <v>101</v>
      </c>
      <c r="G40" s="122">
        <v>1000</v>
      </c>
      <c r="H40" s="122">
        <v>8</v>
      </c>
      <c r="I40" s="124">
        <f t="shared" si="1"/>
        <v>8000</v>
      </c>
    </row>
    <row r="41" spans="1:9" ht="34.200000000000003" thickBot="1">
      <c r="A41" s="31">
        <v>23</v>
      </c>
      <c r="B41" s="32" t="s">
        <v>62</v>
      </c>
      <c r="C41" s="115" t="s">
        <v>63</v>
      </c>
      <c r="D41" s="121">
        <v>998391</v>
      </c>
      <c r="E41" s="120" t="s">
        <v>64</v>
      </c>
      <c r="F41" s="122" t="s">
        <v>65</v>
      </c>
      <c r="G41" s="122">
        <v>1500</v>
      </c>
      <c r="H41" s="122">
        <v>2</v>
      </c>
      <c r="I41" s="124">
        <f t="shared" si="1"/>
        <v>3000</v>
      </c>
    </row>
    <row r="42" spans="1:9" ht="34.200000000000003" thickBot="1">
      <c r="A42" s="31">
        <v>24</v>
      </c>
      <c r="B42" s="32" t="s">
        <v>66</v>
      </c>
      <c r="C42" s="115" t="s">
        <v>67</v>
      </c>
      <c r="D42" s="121">
        <v>998391</v>
      </c>
      <c r="E42" s="126"/>
      <c r="F42" s="122" t="s">
        <v>68</v>
      </c>
      <c r="G42" s="122">
        <v>1000</v>
      </c>
      <c r="H42" s="122">
        <v>3</v>
      </c>
      <c r="I42" s="124">
        <f t="shared" si="1"/>
        <v>3000</v>
      </c>
    </row>
    <row r="43" spans="1:9" ht="67.8" thickBot="1">
      <c r="A43" s="31">
        <v>25</v>
      </c>
      <c r="B43" s="32" t="s">
        <v>69</v>
      </c>
      <c r="C43" s="115" t="s">
        <v>70</v>
      </c>
      <c r="D43" s="121">
        <v>998391</v>
      </c>
      <c r="E43" s="126"/>
      <c r="F43" s="122" t="s">
        <v>68</v>
      </c>
      <c r="G43" s="122">
        <v>2500</v>
      </c>
      <c r="H43" s="122">
        <v>2</v>
      </c>
      <c r="I43" s="124">
        <f t="shared" si="1"/>
        <v>5000</v>
      </c>
    </row>
    <row r="44" spans="1:9" ht="17.399999999999999" thickBot="1">
      <c r="A44" s="31" t="s">
        <v>87</v>
      </c>
      <c r="B44" s="36"/>
      <c r="C44" s="129"/>
      <c r="D44" s="121"/>
      <c r="E44" s="130"/>
      <c r="F44" s="131"/>
      <c r="G44" s="132"/>
      <c r="H44" s="131"/>
      <c r="I44" s="133"/>
    </row>
    <row r="45" spans="1:9" ht="33.6">
      <c r="A45" s="134">
        <v>26</v>
      </c>
      <c r="B45" s="32" t="s">
        <v>119</v>
      </c>
      <c r="C45" s="115" t="s">
        <v>121</v>
      </c>
      <c r="D45" s="121">
        <v>998391</v>
      </c>
      <c r="E45" s="126"/>
      <c r="F45" s="122" t="s">
        <v>101</v>
      </c>
      <c r="G45" s="122">
        <v>250</v>
      </c>
      <c r="H45" s="122">
        <v>1</v>
      </c>
      <c r="I45" s="124">
        <f>G45*H45</f>
        <v>250</v>
      </c>
    </row>
    <row r="46" spans="1:9" ht="45" customHeight="1" thickBot="1">
      <c r="A46" s="134">
        <v>27</v>
      </c>
      <c r="B46" s="32" t="s">
        <v>120</v>
      </c>
      <c r="C46" s="115" t="s">
        <v>122</v>
      </c>
      <c r="D46" s="121">
        <v>998391</v>
      </c>
      <c r="E46" s="126"/>
      <c r="F46" s="122" t="s">
        <v>101</v>
      </c>
      <c r="G46" s="122">
        <v>150</v>
      </c>
      <c r="H46" s="122">
        <v>2</v>
      </c>
      <c r="I46" s="124">
        <f>G46*H46</f>
        <v>300</v>
      </c>
    </row>
    <row r="47" spans="1:9" ht="17.399999999999999" thickBot="1">
      <c r="A47" s="31">
        <v>28</v>
      </c>
      <c r="B47" s="36" t="s">
        <v>118</v>
      </c>
      <c r="C47" s="129" t="s">
        <v>102</v>
      </c>
      <c r="D47" s="121">
        <v>998391</v>
      </c>
      <c r="E47" s="131" t="s">
        <v>53</v>
      </c>
      <c r="F47" s="131" t="s">
        <v>68</v>
      </c>
      <c r="G47" s="131">
        <v>1000</v>
      </c>
      <c r="H47" s="131">
        <v>1</v>
      </c>
      <c r="I47" s="133">
        <f>G47*H47</f>
        <v>1000</v>
      </c>
    </row>
    <row r="48" spans="1:9" ht="34.200000000000003" thickBot="1">
      <c r="A48" s="31">
        <v>29</v>
      </c>
      <c r="B48" s="36" t="s">
        <v>112</v>
      </c>
      <c r="C48" s="129" t="s">
        <v>113</v>
      </c>
      <c r="D48" s="121">
        <v>998391</v>
      </c>
      <c r="E48" s="130"/>
      <c r="F48" s="131" t="s">
        <v>68</v>
      </c>
      <c r="G48" s="132">
        <v>1000</v>
      </c>
      <c r="H48" s="131">
        <v>4</v>
      </c>
      <c r="I48" s="133">
        <f t="shared" si="1"/>
        <v>4000</v>
      </c>
    </row>
    <row r="49" spans="1:11" ht="16.95" customHeight="1">
      <c r="A49" s="37"/>
      <c r="B49" s="38"/>
      <c r="C49" s="34"/>
      <c r="D49" s="34"/>
      <c r="E49" s="34"/>
      <c r="F49" s="84" t="s">
        <v>71</v>
      </c>
      <c r="G49" s="85"/>
      <c r="H49" s="86"/>
      <c r="I49" s="33">
        <f>SUM(I19:I48)</f>
        <v>540642.62</v>
      </c>
    </row>
    <row r="50" spans="1:11" ht="16.8">
      <c r="A50" s="37"/>
      <c r="B50" s="38"/>
      <c r="C50" s="34"/>
      <c r="D50" s="39"/>
      <c r="E50" s="87"/>
      <c r="F50" s="85"/>
      <c r="G50" s="85"/>
      <c r="H50" s="86"/>
      <c r="I50" s="40"/>
    </row>
    <row r="51" spans="1:11" ht="16.8">
      <c r="A51" s="37"/>
      <c r="B51" s="38"/>
      <c r="C51" s="34"/>
      <c r="D51" s="34"/>
      <c r="E51" s="34"/>
      <c r="F51" s="84" t="s">
        <v>72</v>
      </c>
      <c r="G51" s="85"/>
      <c r="H51" s="86"/>
      <c r="I51" s="33">
        <f>I49+I50</f>
        <v>540642.62</v>
      </c>
    </row>
    <row r="52" spans="1:11" ht="16.8">
      <c r="A52" s="37"/>
      <c r="B52" s="38"/>
      <c r="C52" s="34"/>
      <c r="D52" s="34"/>
      <c r="E52" s="34"/>
      <c r="F52" s="88" t="s">
        <v>73</v>
      </c>
      <c r="G52" s="85"/>
      <c r="H52" s="86"/>
      <c r="I52" s="33">
        <f>I51*18%</f>
        <v>97315.671600000001</v>
      </c>
    </row>
    <row r="53" spans="1:11" ht="16.8">
      <c r="A53" s="37"/>
      <c r="B53" s="38"/>
      <c r="C53" s="34"/>
      <c r="D53" s="34"/>
      <c r="E53" s="34"/>
      <c r="F53" s="84" t="s">
        <v>74</v>
      </c>
      <c r="G53" s="85"/>
      <c r="H53" s="86"/>
      <c r="I53" s="33">
        <f>SUM(I52:I52)</f>
        <v>97315.671600000001</v>
      </c>
    </row>
    <row r="54" spans="1:11" ht="17.399999999999999" thickBot="1">
      <c r="A54" s="37"/>
      <c r="B54" s="41"/>
      <c r="C54" s="42"/>
      <c r="D54" s="42"/>
      <c r="E54" s="42"/>
      <c r="F54" s="89" t="s">
        <v>75</v>
      </c>
      <c r="G54" s="90"/>
      <c r="H54" s="91"/>
      <c r="I54" s="111">
        <f>I51+I53</f>
        <v>637958.2916</v>
      </c>
    </row>
    <row r="55" spans="1:11" ht="18" thickBot="1">
      <c r="A55" s="43"/>
      <c r="B55" s="116" t="s">
        <v>126</v>
      </c>
      <c r="C55" s="93"/>
      <c r="D55" s="93"/>
      <c r="E55" s="93"/>
      <c r="F55" s="93"/>
      <c r="G55" s="93"/>
      <c r="H55" s="93"/>
      <c r="I55" s="68"/>
    </row>
    <row r="56" spans="1:11" ht="18" thickBot="1">
      <c r="A56" s="43"/>
      <c r="B56" s="102"/>
      <c r="C56" s="93"/>
      <c r="D56" s="93"/>
      <c r="E56" s="93"/>
      <c r="F56" s="93"/>
      <c r="G56" s="93"/>
      <c r="H56" s="93"/>
      <c r="I56" s="103"/>
      <c r="J56" s="46"/>
      <c r="K56" s="46"/>
    </row>
    <row r="57" spans="1:11" ht="19.8" thickBot="1">
      <c r="A57" s="44"/>
      <c r="B57" s="92" t="s">
        <v>76</v>
      </c>
      <c r="C57" s="68"/>
      <c r="D57" s="45"/>
      <c r="E57" s="104"/>
      <c r="F57" s="105"/>
      <c r="G57" s="106" t="s">
        <v>77</v>
      </c>
      <c r="H57" s="62"/>
      <c r="I57" s="64"/>
      <c r="J57" s="49"/>
      <c r="K57" s="49"/>
    </row>
    <row r="58" spans="1:11" ht="21" thickTop="1" thickBot="1">
      <c r="A58" s="47"/>
      <c r="B58" s="47" t="s">
        <v>78</v>
      </c>
      <c r="C58" s="66"/>
      <c r="D58" s="48"/>
      <c r="E58" s="80"/>
      <c r="F58" s="66"/>
      <c r="G58" s="107" t="s">
        <v>79</v>
      </c>
      <c r="H58" s="108"/>
      <c r="I58" s="109"/>
    </row>
    <row r="59" spans="1:11" ht="20.399999999999999" thickTop="1">
      <c r="A59" s="47"/>
      <c r="B59" s="47" t="s">
        <v>89</v>
      </c>
      <c r="C59" s="66"/>
      <c r="D59" s="48"/>
      <c r="E59" s="80"/>
      <c r="F59" s="66"/>
      <c r="G59" s="110"/>
      <c r="I59" s="59"/>
    </row>
    <row r="60" spans="1:11" ht="19.8">
      <c r="A60" s="50"/>
      <c r="B60" s="99" t="s">
        <v>80</v>
      </c>
      <c r="C60" s="66"/>
      <c r="D60" s="48"/>
      <c r="E60" s="80"/>
      <c r="F60" s="66"/>
      <c r="G60" s="80"/>
      <c r="I60" s="59"/>
    </row>
    <row r="61" spans="1:11" ht="19.8">
      <c r="A61" s="50"/>
      <c r="B61" s="54"/>
      <c r="C61" s="66"/>
      <c r="D61" s="48"/>
      <c r="E61" s="80"/>
      <c r="F61" s="66"/>
      <c r="G61" s="80"/>
      <c r="I61" s="59"/>
    </row>
    <row r="62" spans="1:11" ht="19.8">
      <c r="A62" s="50"/>
      <c r="B62" s="54"/>
      <c r="C62" s="66"/>
      <c r="D62" s="48"/>
      <c r="E62" s="80"/>
      <c r="F62" s="66"/>
      <c r="G62" s="80"/>
      <c r="I62" s="59"/>
    </row>
    <row r="63" spans="1:11" ht="20.399999999999999" thickBot="1">
      <c r="A63" s="50"/>
      <c r="B63" s="54"/>
      <c r="C63" s="66"/>
      <c r="D63" s="48"/>
      <c r="E63" s="80"/>
      <c r="F63" s="66"/>
      <c r="G63" s="80"/>
      <c r="I63" s="59"/>
      <c r="J63" s="49"/>
      <c r="K63" s="49"/>
    </row>
    <row r="64" spans="1:11" ht="20.399999999999999" thickBot="1">
      <c r="A64" s="51"/>
      <c r="B64" s="100"/>
      <c r="C64" s="101"/>
      <c r="D64" s="52"/>
      <c r="E64" s="94" t="s">
        <v>81</v>
      </c>
      <c r="F64" s="95"/>
      <c r="G64" s="96" t="s">
        <v>82</v>
      </c>
      <c r="H64" s="97"/>
      <c r="I64" s="98"/>
    </row>
    <row r="65" spans="1:8" ht="16.2" thickTop="1">
      <c r="A65" s="53"/>
      <c r="B65" s="53"/>
      <c r="C65" s="53"/>
      <c r="D65" s="53"/>
      <c r="E65" s="53"/>
      <c r="F65" s="53"/>
      <c r="G65" s="53"/>
      <c r="H65" s="53"/>
    </row>
    <row r="66" spans="1:8" ht="15.6">
      <c r="A66" s="53"/>
      <c r="B66" s="53"/>
      <c r="C66" s="53"/>
      <c r="D66" s="53"/>
      <c r="E66" s="53"/>
      <c r="F66" s="53"/>
      <c r="G66" s="53"/>
      <c r="H66" s="53"/>
    </row>
    <row r="67" spans="1:8" ht="15.75" customHeight="1">
      <c r="A67" s="53"/>
      <c r="B67" s="53"/>
      <c r="C67" s="53"/>
      <c r="D67" s="53"/>
      <c r="E67" s="53"/>
      <c r="F67" s="53"/>
      <c r="G67" s="53"/>
      <c r="H67" s="53"/>
    </row>
  </sheetData>
  <mergeCells count="1">
    <mergeCell ref="F11:I12"/>
  </mergeCells>
  <dataValidations count="2">
    <dataValidation type="custom" allowBlank="1" showErrorMessage="1" sqref="H20">
      <formula1>NOT(ISBLANK(#REF!))</formula1>
    </dataValidation>
    <dataValidation type="custom" allowBlank="1" showErrorMessage="1" sqref="F11">
      <formula1>NOT(ISBLANK(F10))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Belgarhia-civil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parry.and@gmail.com</cp:lastModifiedBy>
  <dcterms:created xsi:type="dcterms:W3CDTF">2024-10-02T12:39:54Z</dcterms:created>
  <dcterms:modified xsi:type="dcterms:W3CDTF">2025-02-07T07:47:05Z</dcterms:modified>
</cp:coreProperties>
</file>