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Joramandir-civil" sheetId="1" r:id="rId1"/>
  </sheets>
  <calcPr calcId="144525"/>
</workbook>
</file>

<file path=xl/calcChain.xml><?xml version="1.0" encoding="utf-8"?>
<calcChain xmlns="http://schemas.openxmlformats.org/spreadsheetml/2006/main">
  <c r="I35" i="1" l="1"/>
  <c r="I24" i="1"/>
  <c r="I26" i="1" l="1"/>
  <c r="I25" i="1" l="1"/>
  <c r="I43" i="1" l="1"/>
  <c r="I42" i="1"/>
  <c r="I41" i="1"/>
  <c r="I40" i="1"/>
  <c r="I39" i="1"/>
  <c r="I38" i="1"/>
  <c r="I37" i="1"/>
  <c r="I36" i="1"/>
  <c r="I34" i="1"/>
  <c r="I33" i="1"/>
  <c r="I32" i="1"/>
  <c r="I31" i="1"/>
  <c r="I30" i="1"/>
  <c r="I29" i="1"/>
  <c r="I28" i="1"/>
  <c r="I27" i="1"/>
  <c r="I23" i="1"/>
  <c r="I22" i="1"/>
  <c r="I21" i="1"/>
  <c r="I20" i="1"/>
  <c r="I44" i="1" l="1"/>
  <c r="I46" i="1" s="1"/>
  <c r="I47" i="1" s="1"/>
  <c r="I48" i="1" s="1"/>
  <c r="I49" i="1" s="1"/>
</calcChain>
</file>

<file path=xl/sharedStrings.xml><?xml version="1.0" encoding="utf-8"?>
<sst xmlns="http://schemas.openxmlformats.org/spreadsheetml/2006/main" count="158" uniqueCount="119">
  <si>
    <t>M/S I FOUR U ENGINEERING SERVICES</t>
  </si>
  <si>
    <t>Office: House No. 329, New Karmik Nagar, PO ISM, Dhanbad,
Jharkhand, 826004,  +91 7042220470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</si>
  <si>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</si>
  <si>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</si>
  <si>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</si>
  <si>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</si>
  <si>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</si>
  <si>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  <family val="1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</si>
  <si>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</si>
  <si>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</si>
  <si>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</si>
  <si>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</si>
  <si>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</si>
  <si>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</si>
  <si>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</si>
  <si>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</si>
  <si>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</si>
  <si>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</si>
  <si>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</si>
  <si>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</si>
  <si>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</si>
  <si>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</si>
  <si>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</si>
  <si>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</si>
  <si>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</si>
  <si>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</si>
  <si>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</si>
  <si>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</si>
  <si>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</si>
  <si>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</si>
  <si>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</si>
  <si>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</si>
  <si>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</si>
  <si>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</si>
  <si>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CIVIL WORKS</t>
  </si>
  <si>
    <t>False Ceiling</t>
  </si>
  <si>
    <t>Providing and fixing 12.5mm thick gypboard ceiling surfaces in plain including G.I. suspenders of same make forming a grid of intermediate channel at 1220mm centre to centre with ceiling sections of 0.5MM heavy duty Guage fixed at 600mm centre to centre at rig all complete</t>
  </si>
  <si>
    <r>
      <rPr>
        <sz val="13"/>
        <color theme="1"/>
        <rFont val="Aptos Narrow"/>
      </rPr>
      <t xml:space="preserve">Gyproc by Saint Gobain/ </t>
    </r>
    <r>
      <rPr>
        <b/>
        <sz val="13"/>
        <color theme="1"/>
        <rFont val="Aptos Narrow"/>
      </rPr>
      <t>Knauff</t>
    </r>
    <r>
      <rPr>
        <sz val="13"/>
        <color theme="1"/>
        <rFont val="Aptos Narrow"/>
      </rPr>
      <t xml:space="preserve"> </t>
    </r>
  </si>
  <si>
    <t>Sft</t>
  </si>
  <si>
    <t xml:space="preserve">Royal Emulsion Paint </t>
  </si>
  <si>
    <t>Providing &amp; applying of 2 coat of putty, One coat of Primer and Two coat of Royal  Emulsion Paint on Gypsum ceiling complete</t>
  </si>
  <si>
    <t xml:space="preserve">Asian Paint White ROYALE L-105         </t>
  </si>
  <si>
    <t xml:space="preserve">Tractor Emulsion Paint </t>
  </si>
  <si>
    <t>Providing &amp; applying of 2 coat of putty, One coat of Primer and Two coat of tractor Emulsion Paint on all  walls and Store and toilet  Ceilings complete</t>
  </si>
  <si>
    <t>Asian Paint White Tractor Emulsion   L-105</t>
  </si>
  <si>
    <t>Enamel Painting - Shutters</t>
  </si>
  <si>
    <r>
      <rPr>
        <sz val="13"/>
        <color theme="1"/>
        <rFont val="Aptos Narrow"/>
      </rPr>
      <t xml:space="preserve">Providing &amp; applying of Enamel Paint with </t>
    </r>
    <r>
      <rPr>
        <b/>
        <sz val="13"/>
        <color theme="1"/>
        <rFont val="Aptos Narrow"/>
      </rPr>
      <t>asian paints</t>
    </r>
    <r>
      <rPr>
        <sz val="13"/>
        <color theme="1"/>
        <rFont val="Aptos Narrow"/>
      </rPr>
      <t xml:space="preserve"> with approved shade -2 Coats</t>
    </r>
  </si>
  <si>
    <t>Asian Paints</t>
  </si>
  <si>
    <t xml:space="preserve">Toughend glass  </t>
  </si>
  <si>
    <r>
      <rPr>
        <sz val="13"/>
        <color theme="1"/>
        <rFont val="Aptos Narrow"/>
      </rPr>
      <t xml:space="preserve">Providing and fixing of frameless partition with door glazing consisting of </t>
    </r>
    <r>
      <rPr>
        <b/>
        <sz val="13"/>
        <color theme="1"/>
        <rFont val="Aptos Narrow"/>
      </rPr>
      <t>12mm clear toughened</t>
    </r>
    <r>
      <rPr>
        <sz val="13"/>
        <color theme="1"/>
        <rFont val="Aptos Narrow"/>
      </rPr>
      <t xml:space="preserve"> along with  all necessary Patch Fittings</t>
    </r>
  </si>
  <si>
    <t xml:space="preserve"> OZONE</t>
  </si>
  <si>
    <t>Glass Door lock</t>
  </si>
  <si>
    <t>Glass Door Lock -2 sided</t>
  </si>
  <si>
    <t>Ozone</t>
  </si>
  <si>
    <t>No</t>
  </si>
  <si>
    <t>Toughend glass  Patches</t>
  </si>
  <si>
    <r>
      <rPr>
        <sz val="13"/>
        <color theme="1"/>
        <rFont val="Aptos Narrow"/>
      </rPr>
      <t>Providing and fixing of frameless partition Patches</t>
    </r>
    <r>
      <rPr>
        <b/>
        <sz val="13"/>
        <color theme="1"/>
        <rFont val="Aptos Narrow"/>
      </rPr>
      <t xml:space="preserve"> 4 - 6 inches</t>
    </r>
    <r>
      <rPr>
        <sz val="13"/>
        <color theme="1"/>
        <rFont val="Aptos Narrow"/>
      </rPr>
      <t xml:space="preserve">(Door patches top &amp; bottom) for toughened glass including all the necessary fittings.  </t>
    </r>
    <r>
      <rPr>
        <b/>
        <sz val="13"/>
        <color theme="1"/>
        <rFont val="Aptos Narrow"/>
      </rPr>
      <t xml:space="preserve"> OPF -2E or OPF-3E</t>
    </r>
  </si>
  <si>
    <t>Nos</t>
  </si>
  <si>
    <t xml:space="preserve">Floor spring </t>
  </si>
  <si>
    <r>
      <rPr>
        <sz val="13"/>
        <color theme="1"/>
        <rFont val="Aptos Narrow"/>
      </rPr>
      <t xml:space="preserve">Strike plate of make </t>
    </r>
    <r>
      <rPr>
        <b/>
        <sz val="13"/>
        <color theme="1"/>
        <rFont val="Aptos Narrow"/>
      </rPr>
      <t>OZONE</t>
    </r>
    <r>
      <rPr>
        <sz val="13"/>
        <color theme="1"/>
        <rFont val="Aptos Narrow"/>
      </rPr>
      <t xml:space="preserve"> </t>
    </r>
    <r>
      <rPr>
        <b/>
        <sz val="13"/>
        <color theme="1"/>
        <rFont val="Aptos Narrow"/>
      </rPr>
      <t xml:space="preserve"> 8400 (Ozone)</t>
    </r>
    <r>
      <rPr>
        <sz val="13"/>
        <color theme="1"/>
        <rFont val="Aptos Narrow"/>
      </rPr>
      <t xml:space="preserve"> Lock with double cylinder, Pivot, Floor Spring </t>
    </r>
    <r>
      <rPr>
        <b/>
        <sz val="13"/>
        <color theme="1"/>
        <rFont val="Aptos Narrow"/>
      </rPr>
      <t>FS-8400 STD SSS</t>
    </r>
  </si>
  <si>
    <t>Door handle up to 2'</t>
  </si>
  <si>
    <r>
      <rPr>
        <b/>
        <sz val="13"/>
        <color theme="1"/>
        <rFont val="Aptos Narrow"/>
      </rPr>
      <t xml:space="preserve"> 600 mm</t>
    </r>
    <r>
      <rPr>
        <sz val="13"/>
        <color theme="1"/>
        <rFont val="Aptos Narrow"/>
      </rPr>
      <t xml:space="preserve"> ('O'/'H') type)</t>
    </r>
  </si>
  <si>
    <t>SS Poles</t>
  </si>
  <si>
    <t>Providing and Fixing 40 mm square SS poles complete with Top and Bottom flanges</t>
  </si>
  <si>
    <t>local</t>
  </si>
  <si>
    <t>RFT</t>
  </si>
  <si>
    <t>Providing and Fixing 10 mm clear float glass complete with edge polishing</t>
  </si>
  <si>
    <t>SFT</t>
  </si>
  <si>
    <t>Diaper Hanging Rods</t>
  </si>
  <si>
    <t>GI Hanging Rods</t>
  </si>
  <si>
    <t>Shutter boxing, Shutter Columns, AC supporting box</t>
  </si>
  <si>
    <t>Providing &amp; fixing as per site requirements, made of 18mm thick ISI rated commercial plywood board of approved make with 1mm thick green (Merino -22223 CARIBEE ) laminate visible sides  as specified and agreed with framing included</t>
  </si>
  <si>
    <t xml:space="preserve">Merino -22223 </t>
  </si>
  <si>
    <t>DB RACKS</t>
  </si>
  <si>
    <t>Providing anf fixing DB Rack as per design and finish with all necessary hardwares</t>
  </si>
  <si>
    <t>Shutter centre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</si>
  <si>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center locks for the shutters</t>
    </r>
  </si>
  <si>
    <t>Local</t>
  </si>
  <si>
    <t>Shutter side lock</t>
  </si>
  <si>
    <r>
      <rPr>
        <sz val="13"/>
        <color theme="1"/>
        <rFont val="Aptos Narrow"/>
      </rPr>
      <t xml:space="preserve">Providing and fixing of </t>
    </r>
    <r>
      <rPr>
        <b/>
        <sz val="13"/>
        <color theme="1"/>
        <rFont val="Aptos Narrow"/>
      </rPr>
      <t>heavy duty</t>
    </r>
    <r>
      <rPr>
        <sz val="13"/>
        <color theme="1"/>
        <rFont val="Aptos Narrow"/>
      </rPr>
      <t xml:space="preserve"> side Pad locks for the shutters</t>
    </r>
  </si>
  <si>
    <t>Debris</t>
  </si>
  <si>
    <t>Removal of debris Including labour for loading &amp; Unloading, transport and cleaning</t>
  </si>
  <si>
    <t>Convenio / CDP</t>
  </si>
  <si>
    <t>Lumpsum</t>
  </si>
  <si>
    <t>Cleaning charges</t>
  </si>
  <si>
    <t>Cleaning the Outlet</t>
  </si>
  <si>
    <t>lumpsum</t>
  </si>
  <si>
    <t xml:space="preserve">Loading, unloading and cartage charges </t>
  </si>
  <si>
    <t>Glass door stopper</t>
  </si>
  <si>
    <t>Glass Door Stopper</t>
  </si>
  <si>
    <t>Glass door PVC profile</t>
  </si>
  <si>
    <t>Door Matt</t>
  </si>
  <si>
    <t>CIVIL TOTAL</t>
  </si>
  <si>
    <t>CIVIL SUB TOTAL</t>
  </si>
  <si>
    <t>TOTAL IGST 18%</t>
  </si>
  <si>
    <t>TOTAL GST 18%</t>
  </si>
  <si>
    <t>CIVIL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</si>
  <si>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</si>
  <si>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</si>
  <si>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</si>
  <si>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</si>
  <si>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 xml:space="preserve">Bank IFSC and Address : HDFC0002679 , Sri Ram City, Saraidhela, Dhanbad- 828127 </t>
  </si>
  <si>
    <t>Terms and Conditions</t>
  </si>
  <si>
    <t>Common Seal</t>
  </si>
  <si>
    <t>Authorised Signatory</t>
  </si>
  <si>
    <t>Gypsum Partition - Double Side</t>
  </si>
  <si>
    <t>Providing anf fixing gyspsum partition complete with taping and componding both sides</t>
  </si>
  <si>
    <t>Glass door profile</t>
  </si>
  <si>
    <t>Loading, unloading and cartage charges for the glasses (OUTSTATION)</t>
  </si>
  <si>
    <t>12 mm glass shelves</t>
  </si>
  <si>
    <t>OUTSTATION CHARGES</t>
  </si>
  <si>
    <t>Gypsum Partition - Single Side</t>
  </si>
  <si>
    <t>Providing anf fixing gyspsum partition complete with taping and componding one side</t>
  </si>
  <si>
    <t>W/0: APL/WB/CIV/25-26/67</t>
  </si>
  <si>
    <t>Jorebunglow , Darjeeling, WB</t>
  </si>
  <si>
    <t>APLC-014-25/26</t>
  </si>
  <si>
    <t>Holding No- 66(60), Cart Rd , Ward No.-1, GF , PO-Ghoom, PS-Darjeeling,  West Bengal, Pincode:734102</t>
  </si>
  <si>
    <t>Providing door matt Greeen Shade -as per size</t>
  </si>
  <si>
    <t>Rupees (In Words) : Three Lakhs Twelve Thousand Eight Hundred Eighty Six Rupees And Ninety Eight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</si>
</sst>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d/m/yyyy"/>
  </numFmts>
  <fonts count="26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Bookman Old Style"/>
      <family val="1"/>
    </font>
    <font>
      <sz val="10"/>
      <name val="Arial"/>
      <family val="2"/>
    </font>
    <font>
      <b/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2"/>
      <color rgb="FF0E2841"/>
      <name val="Bookman Old Style"/>
      <family val="1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2"/>
      <color theme="1"/>
      <name val="Arial"/>
      <family val="2"/>
    </font>
    <font>
      <sz val="11"/>
      <color theme="1"/>
      <name val="Aptos Narrow"/>
    </font>
    <font>
      <sz val="13"/>
      <color theme="1"/>
      <name val="Arial"/>
      <family val="2"/>
    </font>
    <font>
      <sz val="13"/>
      <color theme="1"/>
      <name val="Aptos Narrow"/>
    </font>
    <font>
      <b/>
      <sz val="13"/>
      <color theme="1"/>
      <name val="Aptos Narrow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5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Calibri"/>
      <family val="2"/>
    </font>
    <font>
      <b/>
      <sz val="15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1F1F1F"/>
      <name val="Bookman Old Style"/>
      <family val="1"/>
    </font>
    <font>
      <b/>
      <sz val="10"/>
      <color theme="1"/>
      <name val="Bookman Old Style"/>
      <family val="1"/>
    </font>
    <font>
      <b/>
      <i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22" fillId="0" borderId="0" xfId="0" applyFont="1" applyAlignment="1">
      <alignment horizontal="center" vertical="top"/>
    </xf>
    <xf numFmtId="0" fontId="0" fillId="0" borderId="0" xfId="0" applyFont="1" applyAlignment="1"/>
    <xf numFmtId="0" fontId="0" fillId="0" borderId="0" xfId="0" applyFont="1" applyAlignment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top"/>
    </xf>
    <xf numFmtId="0" fontId="1" fillId="0" borderId="1" xfId="0" applyFont="1" applyBorder="1"/>
    <xf numFmtId="0" fontId="5" fillId="0" borderId="1" xfId="0" applyFont="1" applyBorder="1" applyAlignme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44" fontId="13" fillId="2" borderId="1" xfId="0" applyNumberFormat="1" applyFont="1" applyFill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44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44" fontId="13" fillId="0" borderId="1" xfId="0" applyNumberFormat="1" applyFont="1" applyBorder="1"/>
    <xf numFmtId="0" fontId="15" fillId="0" borderId="1" xfId="0" applyFont="1" applyBorder="1"/>
    <xf numFmtId="44" fontId="14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0" fontId="21" fillId="0" borderId="1" xfId="0" applyFont="1" applyBorder="1" applyAlignment="1">
      <alignment horizontal="center" vertical="top"/>
    </xf>
    <xf numFmtId="0" fontId="8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25" fillId="0" borderId="1" xfId="0" applyFont="1" applyBorder="1"/>
    <xf numFmtId="0" fontId="1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49" fontId="7" fillId="2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top"/>
    </xf>
    <xf numFmtId="0" fontId="21" fillId="3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8" fillId="0" borderId="1" xfId="0" applyFont="1" applyBorder="1"/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wrapText="1"/>
    </xf>
    <xf numFmtId="0" fontId="21" fillId="0" borderId="1" xfId="0" applyFont="1" applyBorder="1"/>
    <xf numFmtId="0" fontId="0" fillId="0" borderId="1" xfId="0" applyFont="1" applyBorder="1" applyAlignment="1"/>
    <xf numFmtId="0" fontId="24" fillId="0" borderId="1" xfId="0" applyFont="1" applyBorder="1" applyAlignment="1">
      <alignment horizontal="center" vertical="top" wrapText="1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82550</xdr:colOff>
      <xdr:row>0</xdr:row>
      <xdr:rowOff>177800</xdr:rowOff>
    </xdr:from>
    <xdr:ext cx="1066800" cy="5143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0" y="177800"/>
          <a:ext cx="1066800" cy="514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95"/>
  <sheetViews>
    <sheetView tabSelected="1" zoomScale="81" zoomScaleNormal="81" workbookViewId="0">
      <selection activeCell="C50" sqref="C50"/>
    </sheetView>
  </sheetViews>
  <sheetFormatPr defaultColWidth="12.6328125" defaultRowHeight="15" customHeight="1"/>
  <cols>
    <col min="1" max="2" width="17.90625" customWidth="1"/>
    <col min="3" max="3" width="59" customWidth="1"/>
    <col min="4" max="6" width="12.6328125" customWidth="1"/>
    <col min="7" max="7" width="13.453125" customWidth="1"/>
    <col min="9" max="9" width="18.7265625" customWidth="1"/>
  </cols>
  <sheetData>
    <row r="1" spans="1:9" ht="25">
      <c r="A1" s="10"/>
      <c r="B1" s="68"/>
      <c r="C1" s="69" t="s">
        <v>0</v>
      </c>
      <c r="D1" s="54"/>
      <c r="E1" s="54"/>
      <c r="F1" s="54"/>
      <c r="G1" s="54"/>
      <c r="H1" s="54"/>
      <c r="I1" s="54"/>
    </row>
    <row r="2" spans="1:9" ht="13">
      <c r="A2" s="10"/>
      <c r="B2" s="54"/>
      <c r="C2" s="70" t="s">
        <v>1</v>
      </c>
      <c r="D2" s="65"/>
      <c r="E2" s="65"/>
      <c r="F2" s="65"/>
      <c r="G2" s="65"/>
      <c r="H2" s="65"/>
      <c r="I2" s="54"/>
    </row>
    <row r="3" spans="1:9" ht="15.5">
      <c r="A3" s="6"/>
      <c r="B3" s="53" t="s">
        <v>2</v>
      </c>
      <c r="C3" s="65"/>
      <c r="D3" s="65"/>
      <c r="E3" s="65"/>
      <c r="F3" s="65"/>
      <c r="G3" s="65"/>
      <c r="H3" s="65"/>
      <c r="I3" s="54"/>
    </row>
    <row r="4" spans="1:9" ht="15.5">
      <c r="A4" s="4"/>
      <c r="B4" s="4" t="s">
        <v>3</v>
      </c>
      <c r="C4" s="5" t="s">
        <v>115</v>
      </c>
      <c r="D4" s="6"/>
      <c r="E4" s="53" t="s">
        <v>4</v>
      </c>
      <c r="F4" s="54"/>
      <c r="G4" s="53" t="s">
        <v>5</v>
      </c>
      <c r="H4" s="54"/>
      <c r="I4" s="54"/>
    </row>
    <row r="5" spans="1:9" ht="15.5">
      <c r="A5" s="6"/>
      <c r="B5" s="6" t="s">
        <v>6</v>
      </c>
      <c r="C5" s="5" t="s">
        <v>7</v>
      </c>
      <c r="D5" s="6"/>
      <c r="E5" s="11" t="s">
        <v>8</v>
      </c>
      <c r="F5" s="6"/>
      <c r="G5" s="53" t="s">
        <v>9</v>
      </c>
      <c r="H5" s="65"/>
      <c r="I5" s="54"/>
    </row>
    <row r="6" spans="1:9" ht="15.5" customHeight="1">
      <c r="A6" s="5"/>
      <c r="B6" s="53" t="s">
        <v>10</v>
      </c>
      <c r="C6" s="54"/>
      <c r="D6" s="6"/>
      <c r="E6" s="66" t="s">
        <v>11</v>
      </c>
      <c r="F6" s="66"/>
      <c r="G6" s="67">
        <v>45945</v>
      </c>
      <c r="H6" s="65"/>
      <c r="I6" s="54"/>
    </row>
    <row r="7" spans="1:9" ht="15.5">
      <c r="A7" s="4"/>
      <c r="B7" s="6" t="s">
        <v>12</v>
      </c>
      <c r="C7" s="7">
        <v>45945</v>
      </c>
      <c r="D7" s="6"/>
      <c r="E7" s="53" t="s">
        <v>13</v>
      </c>
      <c r="F7" s="54"/>
      <c r="G7" s="53" t="s">
        <v>114</v>
      </c>
      <c r="H7" s="54"/>
      <c r="I7" s="54"/>
    </row>
    <row r="8" spans="1:9" ht="25">
      <c r="A8" s="12"/>
      <c r="B8" s="6"/>
      <c r="C8" s="6"/>
      <c r="D8" s="6"/>
      <c r="E8" s="6"/>
      <c r="F8" s="6"/>
      <c r="G8" s="6"/>
      <c r="H8" s="6"/>
      <c r="I8" s="6"/>
    </row>
    <row r="9" spans="1:9" ht="15.5">
      <c r="A9" s="5"/>
      <c r="B9" s="53" t="s">
        <v>14</v>
      </c>
      <c r="C9" s="54"/>
      <c r="D9" s="6"/>
      <c r="E9" s="53" t="s">
        <v>15</v>
      </c>
      <c r="F9" s="54"/>
      <c r="G9" s="54"/>
      <c r="H9" s="54"/>
      <c r="I9" s="54"/>
    </row>
    <row r="10" spans="1:9" ht="15.5">
      <c r="A10" s="6"/>
      <c r="B10" s="6" t="s">
        <v>16</v>
      </c>
      <c r="C10" s="6" t="s">
        <v>17</v>
      </c>
      <c r="D10" s="6"/>
      <c r="E10" s="6" t="s">
        <v>16</v>
      </c>
      <c r="F10" s="5" t="s">
        <v>17</v>
      </c>
      <c r="G10" s="6"/>
      <c r="H10" s="6"/>
      <c r="I10" s="6"/>
    </row>
    <row r="11" spans="1:9" ht="31">
      <c r="A11" s="6"/>
      <c r="B11" s="6" t="s">
        <v>18</v>
      </c>
      <c r="C11" s="13" t="s">
        <v>19</v>
      </c>
      <c r="D11" s="6"/>
      <c r="E11" s="6" t="s">
        <v>18</v>
      </c>
      <c r="F11" s="55" t="s">
        <v>116</v>
      </c>
      <c r="G11" s="56"/>
      <c r="H11" s="56"/>
      <c r="I11" s="56"/>
    </row>
    <row r="12" spans="1:9" ht="15.5">
      <c r="A12" s="6"/>
      <c r="B12" s="6"/>
      <c r="C12" s="6"/>
      <c r="D12" s="6"/>
      <c r="E12" s="6"/>
      <c r="F12" s="56"/>
      <c r="G12" s="56"/>
      <c r="H12" s="56"/>
      <c r="I12" s="56"/>
    </row>
    <row r="13" spans="1:9" ht="15.5">
      <c r="A13" s="6"/>
      <c r="B13" s="6" t="s">
        <v>20</v>
      </c>
      <c r="C13" s="6" t="s">
        <v>21</v>
      </c>
      <c r="D13" s="6"/>
      <c r="E13" s="6" t="s">
        <v>20</v>
      </c>
      <c r="F13" s="8" t="s">
        <v>21</v>
      </c>
      <c r="G13" s="6"/>
      <c r="H13" s="6"/>
      <c r="I13" s="6"/>
    </row>
    <row r="14" spans="1:9" ht="15.5">
      <c r="A14" s="6"/>
      <c r="B14" s="6" t="s">
        <v>22</v>
      </c>
      <c r="C14" s="6">
        <v>19</v>
      </c>
      <c r="D14" s="6"/>
      <c r="E14" s="6" t="s">
        <v>22</v>
      </c>
      <c r="F14" s="6">
        <v>19</v>
      </c>
      <c r="G14" s="6"/>
      <c r="H14" s="6"/>
      <c r="I14" s="6"/>
    </row>
    <row r="15" spans="1:9" ht="15.5">
      <c r="A15" s="6"/>
      <c r="B15" s="6" t="s">
        <v>23</v>
      </c>
      <c r="C15" s="6" t="s">
        <v>24</v>
      </c>
      <c r="D15" s="6"/>
      <c r="E15" s="6" t="s">
        <v>23</v>
      </c>
      <c r="F15" s="9" t="s">
        <v>24</v>
      </c>
      <c r="G15" s="6"/>
      <c r="H15" s="6"/>
      <c r="I15" s="6"/>
    </row>
    <row r="16" spans="1:9" ht="25">
      <c r="A16" s="12"/>
      <c r="B16" s="59" t="s">
        <v>113</v>
      </c>
      <c r="C16" s="60"/>
      <c r="D16" s="6"/>
      <c r="E16" s="6"/>
      <c r="F16" s="6"/>
      <c r="G16" s="6"/>
      <c r="H16" s="6"/>
      <c r="I16" s="6"/>
    </row>
    <row r="17" spans="1:9" ht="25">
      <c r="A17" s="12"/>
      <c r="B17" s="6"/>
      <c r="C17" s="6"/>
      <c r="D17" s="6"/>
      <c r="E17" s="6"/>
      <c r="F17" s="6"/>
      <c r="G17" s="6"/>
      <c r="H17" s="6"/>
      <c r="I17" s="6"/>
    </row>
    <row r="18" spans="1:9" ht="14">
      <c r="A18" s="14" t="s">
        <v>25</v>
      </c>
      <c r="B18" s="15" t="s">
        <v>26</v>
      </c>
      <c r="C18" s="15" t="s">
        <v>27</v>
      </c>
      <c r="D18" s="14" t="s">
        <v>28</v>
      </c>
      <c r="E18" s="15" t="s">
        <v>29</v>
      </c>
      <c r="F18" s="16" t="s">
        <v>30</v>
      </c>
      <c r="G18" s="16" t="s">
        <v>31</v>
      </c>
      <c r="H18" s="16" t="s">
        <v>32</v>
      </c>
      <c r="I18" s="16" t="s">
        <v>33</v>
      </c>
    </row>
    <row r="19" spans="1:9" ht="15.5">
      <c r="A19" s="50"/>
      <c r="B19" s="17" t="s">
        <v>34</v>
      </c>
      <c r="C19" s="18"/>
      <c r="D19" s="18"/>
      <c r="E19" s="18"/>
      <c r="F19" s="18"/>
      <c r="G19" s="19"/>
      <c r="H19" s="18"/>
      <c r="I19" s="18"/>
    </row>
    <row r="20" spans="1:9" ht="99">
      <c r="A20" s="21">
        <v>1</v>
      </c>
      <c r="B20" s="20" t="s">
        <v>35</v>
      </c>
      <c r="C20" s="20" t="s">
        <v>36</v>
      </c>
      <c r="D20" s="21">
        <v>995428</v>
      </c>
      <c r="E20" s="20" t="s">
        <v>37</v>
      </c>
      <c r="F20" s="22" t="s">
        <v>38</v>
      </c>
      <c r="G20" s="22">
        <v>70</v>
      </c>
      <c r="H20" s="23">
        <v>578.73</v>
      </c>
      <c r="I20" s="24">
        <f t="shared" ref="I20:I30" si="0">G20*H20</f>
        <v>40511.1</v>
      </c>
    </row>
    <row r="21" spans="1:9" ht="82.5">
      <c r="A21" s="21">
        <v>2</v>
      </c>
      <c r="B21" s="20" t="s">
        <v>39</v>
      </c>
      <c r="C21" s="20" t="s">
        <v>40</v>
      </c>
      <c r="D21" s="21">
        <v>995428</v>
      </c>
      <c r="E21" s="20" t="s">
        <v>41</v>
      </c>
      <c r="F21" s="22" t="s">
        <v>38</v>
      </c>
      <c r="G21" s="22">
        <v>34</v>
      </c>
      <c r="H21" s="23">
        <v>483.59</v>
      </c>
      <c r="I21" s="24">
        <f t="shared" si="0"/>
        <v>16442.059999999998</v>
      </c>
    </row>
    <row r="22" spans="1:9" ht="99">
      <c r="A22" s="21">
        <v>3</v>
      </c>
      <c r="B22" s="20" t="s">
        <v>42</v>
      </c>
      <c r="C22" s="20" t="s">
        <v>43</v>
      </c>
      <c r="D22" s="21">
        <v>995428</v>
      </c>
      <c r="E22" s="20" t="s">
        <v>44</v>
      </c>
      <c r="F22" s="22" t="s">
        <v>38</v>
      </c>
      <c r="G22" s="22">
        <v>25</v>
      </c>
      <c r="H22" s="22">
        <v>777.14</v>
      </c>
      <c r="I22" s="24">
        <f t="shared" si="0"/>
        <v>19428.5</v>
      </c>
    </row>
    <row r="23" spans="1:9" ht="49.5">
      <c r="A23" s="21">
        <v>4</v>
      </c>
      <c r="B23" s="25" t="s">
        <v>45</v>
      </c>
      <c r="C23" s="26" t="s">
        <v>46</v>
      </c>
      <c r="D23" s="21">
        <v>995428</v>
      </c>
      <c r="E23" s="20" t="s">
        <v>47</v>
      </c>
      <c r="F23" s="22" t="s">
        <v>38</v>
      </c>
      <c r="G23" s="22">
        <v>15</v>
      </c>
      <c r="H23" s="22">
        <v>138.38</v>
      </c>
      <c r="I23" s="24">
        <f t="shared" si="0"/>
        <v>2075.6999999999998</v>
      </c>
    </row>
    <row r="24" spans="1:9" s="3" customFormat="1" ht="65" customHeight="1">
      <c r="A24" s="21">
        <v>5</v>
      </c>
      <c r="B24" s="25" t="s">
        <v>111</v>
      </c>
      <c r="C24" s="26" t="s">
        <v>112</v>
      </c>
      <c r="D24" s="21">
        <v>995428</v>
      </c>
      <c r="E24" s="20" t="s">
        <v>37</v>
      </c>
      <c r="F24" s="22" t="s">
        <v>67</v>
      </c>
      <c r="G24" s="22">
        <v>75</v>
      </c>
      <c r="H24" s="22">
        <v>75.709999999999994</v>
      </c>
      <c r="I24" s="24">
        <f>H24*G24</f>
        <v>5678.2499999999991</v>
      </c>
    </row>
    <row r="25" spans="1:9" s="2" customFormat="1" ht="59.5" customHeight="1">
      <c r="A25" s="21">
        <v>6</v>
      </c>
      <c r="B25" s="25" t="s">
        <v>105</v>
      </c>
      <c r="C25" s="26" t="s">
        <v>106</v>
      </c>
      <c r="D25" s="21">
        <v>995428</v>
      </c>
      <c r="E25" s="20" t="s">
        <v>37</v>
      </c>
      <c r="F25" s="22" t="s">
        <v>38</v>
      </c>
      <c r="G25" s="27">
        <v>110</v>
      </c>
      <c r="H25" s="22">
        <v>144.75</v>
      </c>
      <c r="I25" s="24">
        <f>H25*G25</f>
        <v>15922.5</v>
      </c>
    </row>
    <row r="26" spans="1:9" ht="63" customHeight="1">
      <c r="A26" s="21">
        <v>7</v>
      </c>
      <c r="B26" s="20" t="s">
        <v>48</v>
      </c>
      <c r="C26" s="26" t="s">
        <v>49</v>
      </c>
      <c r="D26" s="21">
        <v>995428</v>
      </c>
      <c r="E26" s="20" t="s">
        <v>50</v>
      </c>
      <c r="F26" s="22" t="s">
        <v>38</v>
      </c>
      <c r="G26" s="22">
        <v>420</v>
      </c>
      <c r="H26" s="23">
        <v>63</v>
      </c>
      <c r="I26" s="24">
        <f t="shared" si="0"/>
        <v>26460</v>
      </c>
    </row>
    <row r="27" spans="1:9" ht="26" customHeight="1">
      <c r="A27" s="21">
        <v>8</v>
      </c>
      <c r="B27" s="28" t="s">
        <v>51</v>
      </c>
      <c r="C27" s="26" t="s">
        <v>52</v>
      </c>
      <c r="D27" s="21">
        <v>995428</v>
      </c>
      <c r="E27" s="20" t="s">
        <v>53</v>
      </c>
      <c r="F27" s="22" t="s">
        <v>54</v>
      </c>
      <c r="G27" s="22">
        <v>2000</v>
      </c>
      <c r="H27" s="23">
        <v>1</v>
      </c>
      <c r="I27" s="24">
        <f t="shared" si="0"/>
        <v>2000</v>
      </c>
    </row>
    <row r="28" spans="1:9" ht="66">
      <c r="A28" s="21">
        <v>9</v>
      </c>
      <c r="B28" s="20" t="s">
        <v>55</v>
      </c>
      <c r="C28" s="26" t="s">
        <v>56</v>
      </c>
      <c r="D28" s="21">
        <v>995428</v>
      </c>
      <c r="E28" s="20" t="s">
        <v>53</v>
      </c>
      <c r="F28" s="22" t="s">
        <v>57</v>
      </c>
      <c r="G28" s="22">
        <v>1400</v>
      </c>
      <c r="H28" s="22">
        <v>2</v>
      </c>
      <c r="I28" s="24">
        <f t="shared" si="0"/>
        <v>2800</v>
      </c>
    </row>
    <row r="29" spans="1:9" ht="48.5" customHeight="1">
      <c r="A29" s="21">
        <v>10</v>
      </c>
      <c r="B29" s="20" t="s">
        <v>58</v>
      </c>
      <c r="C29" s="26" t="s">
        <v>59</v>
      </c>
      <c r="D29" s="21">
        <v>995428</v>
      </c>
      <c r="E29" s="20" t="s">
        <v>53</v>
      </c>
      <c r="F29" s="22" t="s">
        <v>57</v>
      </c>
      <c r="G29" s="22">
        <v>10000</v>
      </c>
      <c r="H29" s="22">
        <v>1</v>
      </c>
      <c r="I29" s="24">
        <f t="shared" si="0"/>
        <v>10000</v>
      </c>
    </row>
    <row r="30" spans="1:9" ht="33">
      <c r="A30" s="21">
        <v>11</v>
      </c>
      <c r="B30" s="25" t="s">
        <v>60</v>
      </c>
      <c r="C30" s="26" t="s">
        <v>61</v>
      </c>
      <c r="D30" s="21">
        <v>995428</v>
      </c>
      <c r="E30" s="20" t="s">
        <v>53</v>
      </c>
      <c r="F30" s="22" t="s">
        <v>57</v>
      </c>
      <c r="G30" s="22">
        <v>2300</v>
      </c>
      <c r="H30" s="22">
        <v>1</v>
      </c>
      <c r="I30" s="24">
        <f t="shared" si="0"/>
        <v>2300</v>
      </c>
    </row>
    <row r="31" spans="1:9" ht="33">
      <c r="A31" s="21">
        <v>12</v>
      </c>
      <c r="B31" s="22" t="s">
        <v>62</v>
      </c>
      <c r="C31" s="26" t="s">
        <v>63</v>
      </c>
      <c r="D31" s="21">
        <v>995428</v>
      </c>
      <c r="E31" s="20" t="s">
        <v>64</v>
      </c>
      <c r="F31" s="22" t="s">
        <v>65</v>
      </c>
      <c r="G31" s="22">
        <v>475</v>
      </c>
      <c r="H31" s="22">
        <v>26.33</v>
      </c>
      <c r="I31" s="24">
        <f t="shared" ref="I31" si="1">H31*G31</f>
        <v>12506.75</v>
      </c>
    </row>
    <row r="32" spans="1:9" ht="33">
      <c r="A32" s="21">
        <v>13</v>
      </c>
      <c r="B32" s="25" t="s">
        <v>109</v>
      </c>
      <c r="C32" s="26" t="s">
        <v>66</v>
      </c>
      <c r="D32" s="21">
        <v>995428</v>
      </c>
      <c r="E32" s="20" t="s">
        <v>64</v>
      </c>
      <c r="F32" s="22" t="s">
        <v>67</v>
      </c>
      <c r="G32" s="22">
        <v>180</v>
      </c>
      <c r="H32" s="22">
        <v>30</v>
      </c>
      <c r="I32" s="24">
        <f>G32*H32</f>
        <v>5400</v>
      </c>
    </row>
    <row r="33" spans="1:9" ht="33">
      <c r="A33" s="21">
        <v>14</v>
      </c>
      <c r="B33" s="25" t="s">
        <v>68</v>
      </c>
      <c r="C33" s="29" t="s">
        <v>69</v>
      </c>
      <c r="D33" s="21">
        <v>995428</v>
      </c>
      <c r="E33" s="20" t="s">
        <v>64</v>
      </c>
      <c r="F33" s="22" t="s">
        <v>57</v>
      </c>
      <c r="G33" s="22">
        <v>200</v>
      </c>
      <c r="H33" s="22">
        <v>8</v>
      </c>
      <c r="I33" s="24">
        <f>H33*G33</f>
        <v>1600</v>
      </c>
    </row>
    <row r="34" spans="1:9" ht="82.5">
      <c r="A34" s="21">
        <v>15</v>
      </c>
      <c r="B34" s="25" t="s">
        <v>70</v>
      </c>
      <c r="C34" s="26" t="s">
        <v>71</v>
      </c>
      <c r="D34" s="21">
        <v>995428</v>
      </c>
      <c r="E34" s="20" t="s">
        <v>72</v>
      </c>
      <c r="F34" s="22" t="s">
        <v>38</v>
      </c>
      <c r="G34" s="22">
        <v>430</v>
      </c>
      <c r="H34" s="23">
        <v>80.319999999999993</v>
      </c>
      <c r="I34" s="24">
        <f t="shared" ref="I34:I40" si="2">G34*H34</f>
        <v>34537.599999999999</v>
      </c>
    </row>
    <row r="35" spans="1:9" ht="33">
      <c r="A35" s="21">
        <v>16</v>
      </c>
      <c r="B35" s="20" t="s">
        <v>73</v>
      </c>
      <c r="C35" s="26" t="s">
        <v>74</v>
      </c>
      <c r="D35" s="21">
        <v>995428</v>
      </c>
      <c r="E35" s="20" t="s">
        <v>72</v>
      </c>
      <c r="F35" s="22" t="s">
        <v>67</v>
      </c>
      <c r="G35" s="22">
        <v>1200</v>
      </c>
      <c r="H35" s="23">
        <v>10.83</v>
      </c>
      <c r="I35" s="24">
        <f>H35*G35</f>
        <v>12996</v>
      </c>
    </row>
    <row r="36" spans="1:9" ht="33">
      <c r="A36" s="21">
        <v>17</v>
      </c>
      <c r="B36" s="25" t="s">
        <v>75</v>
      </c>
      <c r="C36" s="26" t="s">
        <v>76</v>
      </c>
      <c r="D36" s="21">
        <v>995428</v>
      </c>
      <c r="E36" s="20" t="s">
        <v>77</v>
      </c>
      <c r="F36" s="22" t="s">
        <v>57</v>
      </c>
      <c r="G36" s="22">
        <v>1500</v>
      </c>
      <c r="H36" s="22">
        <v>1</v>
      </c>
      <c r="I36" s="24">
        <f t="shared" si="2"/>
        <v>1500</v>
      </c>
    </row>
    <row r="37" spans="1:9" ht="33">
      <c r="A37" s="21">
        <v>18</v>
      </c>
      <c r="B37" s="25" t="s">
        <v>78</v>
      </c>
      <c r="C37" s="26" t="s">
        <v>79</v>
      </c>
      <c r="D37" s="21">
        <v>995428</v>
      </c>
      <c r="E37" s="20" t="s">
        <v>77</v>
      </c>
      <c r="F37" s="22" t="s">
        <v>57</v>
      </c>
      <c r="G37" s="22">
        <v>1000</v>
      </c>
      <c r="H37" s="22">
        <v>2</v>
      </c>
      <c r="I37" s="24">
        <f t="shared" si="2"/>
        <v>2000</v>
      </c>
    </row>
    <row r="38" spans="1:9" ht="33">
      <c r="A38" s="21">
        <v>19</v>
      </c>
      <c r="B38" s="25" t="s">
        <v>80</v>
      </c>
      <c r="C38" s="26" t="s">
        <v>81</v>
      </c>
      <c r="D38" s="21">
        <v>995428</v>
      </c>
      <c r="E38" s="20" t="s">
        <v>82</v>
      </c>
      <c r="F38" s="22" t="s">
        <v>83</v>
      </c>
      <c r="G38" s="22">
        <v>1500</v>
      </c>
      <c r="H38" s="22">
        <v>1</v>
      </c>
      <c r="I38" s="24">
        <f t="shared" si="2"/>
        <v>1500</v>
      </c>
    </row>
    <row r="39" spans="1:9" ht="40" customHeight="1">
      <c r="A39" s="21">
        <v>20</v>
      </c>
      <c r="B39" s="25" t="s">
        <v>84</v>
      </c>
      <c r="C39" s="26" t="s">
        <v>85</v>
      </c>
      <c r="D39" s="21">
        <v>995428</v>
      </c>
      <c r="E39" s="22" t="s">
        <v>57</v>
      </c>
      <c r="F39" s="22" t="s">
        <v>86</v>
      </c>
      <c r="G39" s="22">
        <v>1000</v>
      </c>
      <c r="H39" s="22">
        <v>2</v>
      </c>
      <c r="I39" s="24">
        <f t="shared" si="2"/>
        <v>2000</v>
      </c>
    </row>
    <row r="40" spans="1:9" ht="66">
      <c r="A40" s="21">
        <v>21</v>
      </c>
      <c r="B40" s="20" t="s">
        <v>87</v>
      </c>
      <c r="C40" s="26" t="s">
        <v>108</v>
      </c>
      <c r="D40" s="21">
        <v>995428</v>
      </c>
      <c r="E40" s="22" t="s">
        <v>57</v>
      </c>
      <c r="F40" s="22" t="s">
        <v>86</v>
      </c>
      <c r="G40" s="22">
        <v>5000</v>
      </c>
      <c r="H40" s="22">
        <v>1</v>
      </c>
      <c r="I40" s="24">
        <f t="shared" si="2"/>
        <v>5000</v>
      </c>
    </row>
    <row r="41" spans="1:9" ht="33">
      <c r="A41" s="21">
        <v>22</v>
      </c>
      <c r="B41" s="25" t="s">
        <v>88</v>
      </c>
      <c r="C41" s="26" t="s">
        <v>89</v>
      </c>
      <c r="D41" s="21">
        <v>995428</v>
      </c>
      <c r="E41" s="22" t="s">
        <v>57</v>
      </c>
      <c r="F41" s="22" t="s">
        <v>57</v>
      </c>
      <c r="G41" s="22">
        <v>250</v>
      </c>
      <c r="H41" s="22">
        <v>1</v>
      </c>
      <c r="I41" s="24">
        <f t="shared" ref="I41:I43" si="3">G41*H41</f>
        <v>250</v>
      </c>
    </row>
    <row r="42" spans="1:9" ht="33">
      <c r="A42" s="21">
        <v>23</v>
      </c>
      <c r="B42" s="25" t="s">
        <v>107</v>
      </c>
      <c r="C42" s="26" t="s">
        <v>90</v>
      </c>
      <c r="D42" s="21">
        <v>995428</v>
      </c>
      <c r="E42" s="22" t="s">
        <v>57</v>
      </c>
      <c r="F42" s="22" t="s">
        <v>57</v>
      </c>
      <c r="G42" s="22">
        <v>250</v>
      </c>
      <c r="H42" s="22">
        <v>1</v>
      </c>
      <c r="I42" s="24">
        <f t="shared" si="3"/>
        <v>250</v>
      </c>
    </row>
    <row r="43" spans="1:9" ht="35.5" customHeight="1">
      <c r="A43" s="21">
        <v>24</v>
      </c>
      <c r="B43" s="52" t="s">
        <v>91</v>
      </c>
      <c r="C43" s="30" t="s">
        <v>117</v>
      </c>
      <c r="D43" s="21">
        <v>995428</v>
      </c>
      <c r="E43" s="31" t="s">
        <v>77</v>
      </c>
      <c r="F43" s="31" t="s">
        <v>86</v>
      </c>
      <c r="G43" s="31">
        <v>2000</v>
      </c>
      <c r="H43" s="31">
        <v>1</v>
      </c>
      <c r="I43" s="32">
        <f t="shared" si="3"/>
        <v>2000</v>
      </c>
    </row>
    <row r="44" spans="1:9" ht="16.5">
      <c r="A44" s="29"/>
      <c r="B44" s="33"/>
      <c r="C44" s="33"/>
      <c r="D44" s="33"/>
      <c r="E44" s="33"/>
      <c r="F44" s="34" t="s">
        <v>92</v>
      </c>
      <c r="G44" s="10"/>
      <c r="H44" s="10"/>
      <c r="I44" s="40">
        <f>SUM(I19:I43)</f>
        <v>225158.46</v>
      </c>
    </row>
    <row r="45" spans="1:9" ht="16.5">
      <c r="A45" s="29"/>
      <c r="B45" s="33"/>
      <c r="C45" s="33"/>
      <c r="D45" s="36"/>
      <c r="E45" s="37"/>
      <c r="F45" s="49" t="s">
        <v>110</v>
      </c>
      <c r="G45" s="10"/>
      <c r="H45" s="10"/>
      <c r="I45" s="38">
        <v>40000</v>
      </c>
    </row>
    <row r="46" spans="1:9" ht="16.5">
      <c r="A46" s="29"/>
      <c r="B46" s="33"/>
      <c r="C46" s="33"/>
      <c r="D46" s="33"/>
      <c r="E46" s="33"/>
      <c r="F46" s="34" t="s">
        <v>93</v>
      </c>
      <c r="G46" s="10"/>
      <c r="H46" s="10"/>
      <c r="I46" s="40">
        <f>I44+I45</f>
        <v>265158.45999999996</v>
      </c>
    </row>
    <row r="47" spans="1:9" ht="16.5">
      <c r="A47" s="29"/>
      <c r="B47" s="33"/>
      <c r="C47" s="33"/>
      <c r="D47" s="33"/>
      <c r="E47" s="33"/>
      <c r="F47" s="39" t="s">
        <v>94</v>
      </c>
      <c r="G47" s="10"/>
      <c r="H47" s="10"/>
      <c r="I47" s="35">
        <f>I46*18%</f>
        <v>47728.522799999992</v>
      </c>
    </row>
    <row r="48" spans="1:9" ht="16.5">
      <c r="A48" s="29"/>
      <c r="B48" s="33"/>
      <c r="C48" s="33"/>
      <c r="D48" s="33"/>
      <c r="E48" s="33"/>
      <c r="F48" s="34" t="s">
        <v>95</v>
      </c>
      <c r="G48" s="10"/>
      <c r="H48" s="10"/>
      <c r="I48" s="35">
        <f>SUM(I47)</f>
        <v>47728.522799999992</v>
      </c>
    </row>
    <row r="49" spans="1:9" ht="16.5">
      <c r="A49" s="33"/>
      <c r="B49" s="33"/>
      <c r="C49" s="33"/>
      <c r="D49" s="33"/>
      <c r="E49" s="33"/>
      <c r="F49" s="34" t="s">
        <v>96</v>
      </c>
      <c r="G49" s="10"/>
      <c r="H49" s="10"/>
      <c r="I49" s="40">
        <f>I46+I48</f>
        <v>312886.98279999994</v>
      </c>
    </row>
    <row r="50" spans="1:9" ht="27.5" customHeight="1">
      <c r="A50" s="41"/>
      <c r="B50" s="51" t="s">
        <v>118</v>
      </c>
      <c r="C50" s="10"/>
      <c r="D50" s="10"/>
      <c r="E50" s="10"/>
      <c r="F50" s="10"/>
      <c r="G50" s="10"/>
      <c r="H50" s="10"/>
      <c r="I50" s="10"/>
    </row>
    <row r="51" spans="1:9" ht="18">
      <c r="A51" s="41"/>
      <c r="B51" s="41"/>
      <c r="C51" s="10"/>
      <c r="D51" s="10"/>
      <c r="E51" s="10"/>
      <c r="F51" s="10"/>
      <c r="G51" s="10"/>
      <c r="H51" s="10"/>
      <c r="I51" s="10"/>
    </row>
    <row r="52" spans="1:9" ht="19">
      <c r="A52" s="42"/>
      <c r="B52" s="43" t="s">
        <v>97</v>
      </c>
      <c r="C52" s="10"/>
      <c r="D52" s="44"/>
      <c r="E52" s="61"/>
      <c r="F52" s="54"/>
      <c r="G52" s="62" t="s">
        <v>98</v>
      </c>
      <c r="H52" s="54"/>
      <c r="I52" s="54"/>
    </row>
    <row r="53" spans="1:9" ht="19.5">
      <c r="A53" s="45"/>
      <c r="B53" s="45" t="s">
        <v>99</v>
      </c>
      <c r="C53" s="10"/>
      <c r="D53" s="44"/>
      <c r="E53" s="54"/>
      <c r="F53" s="54"/>
      <c r="G53" s="58" t="s">
        <v>100</v>
      </c>
      <c r="H53" s="54"/>
      <c r="I53" s="54"/>
    </row>
    <row r="54" spans="1:9" ht="19.5">
      <c r="A54" s="45"/>
      <c r="B54" s="63" t="s">
        <v>101</v>
      </c>
      <c r="C54" s="54"/>
      <c r="D54" s="44"/>
      <c r="E54" s="54"/>
      <c r="F54" s="54"/>
      <c r="G54" s="64"/>
      <c r="H54" s="65"/>
      <c r="I54" s="54"/>
    </row>
    <row r="55" spans="1:9" ht="19.5">
      <c r="A55" s="46"/>
      <c r="B55" s="47" t="s">
        <v>102</v>
      </c>
      <c r="C55" s="10"/>
      <c r="D55" s="44"/>
      <c r="E55" s="54"/>
      <c r="F55" s="54"/>
      <c r="G55" s="54"/>
      <c r="H55" s="65"/>
      <c r="I55" s="54"/>
    </row>
    <row r="56" spans="1:9" ht="19.5">
      <c r="A56" s="46"/>
      <c r="B56" s="10"/>
      <c r="C56" s="10"/>
      <c r="D56" s="44"/>
      <c r="E56" s="54"/>
      <c r="F56" s="54"/>
      <c r="G56" s="54"/>
      <c r="H56" s="65"/>
      <c r="I56" s="54"/>
    </row>
    <row r="57" spans="1:9" ht="19.5">
      <c r="A57" s="46"/>
      <c r="B57" s="10"/>
      <c r="C57" s="10"/>
      <c r="D57" s="44"/>
      <c r="E57" s="54"/>
      <c r="F57" s="54"/>
      <c r="G57" s="54"/>
      <c r="H57" s="65"/>
      <c r="I57" s="54"/>
    </row>
    <row r="58" spans="1:9" ht="19.5">
      <c r="A58" s="46"/>
      <c r="B58" s="10"/>
      <c r="C58" s="10"/>
      <c r="D58" s="44"/>
      <c r="E58" s="54"/>
      <c r="F58" s="54"/>
      <c r="G58" s="54"/>
      <c r="H58" s="65"/>
      <c r="I58" s="54"/>
    </row>
    <row r="59" spans="1:9" ht="19.5">
      <c r="A59" s="46"/>
      <c r="B59" s="10"/>
      <c r="C59" s="10"/>
      <c r="D59" s="48"/>
      <c r="E59" s="57" t="s">
        <v>103</v>
      </c>
      <c r="F59" s="54"/>
      <c r="G59" s="58" t="s">
        <v>104</v>
      </c>
      <c r="H59" s="54"/>
      <c r="I59" s="54"/>
    </row>
    <row r="60" spans="1:9" ht="15.75" customHeight="1">
      <c r="A60" s="1"/>
      <c r="B60" s="1"/>
      <c r="C60" s="1"/>
      <c r="D60" s="1"/>
      <c r="E60" s="1"/>
      <c r="F60" s="1"/>
      <c r="G60" s="1"/>
      <c r="H60" s="1"/>
    </row>
    <row r="61" spans="1:9" ht="15.75" customHeight="1">
      <c r="A61" s="1"/>
      <c r="B61" s="1"/>
      <c r="C61" s="1"/>
      <c r="D61" s="1"/>
      <c r="E61" s="1"/>
      <c r="F61" s="1"/>
      <c r="G61" s="1"/>
      <c r="H61" s="1"/>
    </row>
    <row r="62" spans="1:9" ht="15.75" customHeight="1">
      <c r="A62" s="1"/>
      <c r="B62" s="1"/>
      <c r="C62" s="1"/>
      <c r="D62" s="1"/>
      <c r="E62" s="1"/>
      <c r="F62" s="1"/>
      <c r="G62" s="1"/>
      <c r="H62" s="1"/>
    </row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3">
    <mergeCell ref="B1:B2"/>
    <mergeCell ref="C1:I1"/>
    <mergeCell ref="C2:I2"/>
    <mergeCell ref="B3:I3"/>
    <mergeCell ref="E4:F4"/>
    <mergeCell ref="G4:I4"/>
    <mergeCell ref="G5:I5"/>
    <mergeCell ref="B6:C6"/>
    <mergeCell ref="E6:F6"/>
    <mergeCell ref="G6:I6"/>
    <mergeCell ref="E7:F7"/>
    <mergeCell ref="G7:I7"/>
    <mergeCell ref="E9:I9"/>
    <mergeCell ref="F11:I12"/>
    <mergeCell ref="E59:F59"/>
    <mergeCell ref="G59:I59"/>
    <mergeCell ref="B9:C9"/>
    <mergeCell ref="B16:C16"/>
    <mergeCell ref="E52:F58"/>
    <mergeCell ref="G52:I52"/>
    <mergeCell ref="G53:I53"/>
    <mergeCell ref="B54:C54"/>
    <mergeCell ref="G54:I58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Joramandir-civil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2025-10-15T09:53:08Z</dcterms:modified>
</cp:coreProperties>
</file>