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ry\Desktop\Akankha Billing -New town\"/>
    </mc:Choice>
  </mc:AlternateContent>
  <bookViews>
    <workbookView xWindow="0" yWindow="0" windowWidth="23016" windowHeight="847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47" i="1" l="1"/>
  <c r="I45" i="1"/>
  <c r="I49" i="1"/>
  <c r="I48" i="1" l="1"/>
  <c r="I20" i="1" l="1"/>
  <c r="I46" i="1"/>
  <c r="I44" i="1"/>
  <c r="I43" i="1"/>
  <c r="I41" i="1"/>
  <c r="I22" i="1"/>
  <c r="I50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1" i="1"/>
  <c r="I52" i="1" l="1"/>
  <c r="I53" i="1" l="1"/>
  <c r="I55" i="1" s="1"/>
  <c r="I56" i="1" s="1"/>
</calcChain>
</file>

<file path=xl/sharedStrings.xml><?xml version="1.0" encoding="utf-8"?>
<sst xmlns="http://schemas.openxmlformats.org/spreadsheetml/2006/main" count="182" uniqueCount="131">
  <si>
    <t>M/S I FOUR U ENGINEERING SERVICES</t>
  </si>
  <si>
    <t>GSTIN : 20ARNPA8397C1ZX</t>
  </si>
  <si>
    <t xml:space="preserve">INVOICE NUMBER </t>
  </si>
  <si>
    <t>Transportation Mode</t>
  </si>
  <si>
    <t>Work at site</t>
  </si>
  <si>
    <t xml:space="preserve">GSTIN : </t>
  </si>
  <si>
    <r>
      <rPr>
        <b/>
        <sz val="12"/>
        <color rgb="FF1F1F1F"/>
        <rFont val="Bookman Old Style"/>
      </rPr>
      <t>20ARNPA8397C1ZX</t>
    </r>
  </si>
  <si>
    <t>Vehicle No.</t>
  </si>
  <si>
    <t>N/A</t>
  </si>
  <si>
    <t>Tax is payable on reverse charge : (yes /no)</t>
  </si>
  <si>
    <t>Date and Time of supply</t>
  </si>
  <si>
    <t>INVOICE DATE</t>
  </si>
  <si>
    <t>Place of supply</t>
  </si>
  <si>
    <t>Details of Reciever (Billed to)</t>
  </si>
  <si>
    <t>Details of Consignee (Work at Site)</t>
  </si>
  <si>
    <t>Name</t>
  </si>
  <si>
    <t>Apollo Pharmacies Limited</t>
  </si>
  <si>
    <t>Address</t>
  </si>
  <si>
    <t>Block A RGM 5/284, Jagardanga Rajarhat Gopalpur, New Town , Kolkata-700136</t>
  </si>
  <si>
    <t>State</t>
  </si>
  <si>
    <t>West Bengal</t>
  </si>
  <si>
    <t>State Code</t>
  </si>
  <si>
    <t>GSTIN NO.</t>
  </si>
  <si>
    <t>19AAPCA5954P1ZO</t>
  </si>
  <si>
    <t>S NO.</t>
  </si>
  <si>
    <t>ITEM NAME</t>
  </si>
  <si>
    <t>DESCRIPTION OF THE ITEM</t>
  </si>
  <si>
    <t>SAC</t>
  </si>
  <si>
    <t>PRODUCT</t>
  </si>
  <si>
    <t>UNIT</t>
  </si>
  <si>
    <t>Price</t>
  </si>
  <si>
    <t>Quantity</t>
  </si>
  <si>
    <t>Amount</t>
  </si>
  <si>
    <t>Electrical Work</t>
  </si>
  <si>
    <t>Wiring 2.5sq.mm</t>
  </si>
  <si>
    <t>Finolex/Polycab</t>
  </si>
  <si>
    <t>Rft</t>
  </si>
  <si>
    <t>Wiring 4sq.mm</t>
  </si>
  <si>
    <t>Lights/Fans Point</t>
  </si>
  <si>
    <t xml:space="preserve"> Supply, install, connect, test and commission a complete, internal/ external embedded or exposed lighting points and fan points  (1 switch controlled by 3 to 4 lights) including lugs, connectors, PVC conduits with 2 nos 1 sqmm FRLS cables, switches (Anchor-Roma), boxes,  and all other accessories. </t>
  </si>
  <si>
    <t>Point</t>
  </si>
  <si>
    <t>Loop point</t>
  </si>
  <si>
    <r>
      <rPr>
        <sz val="13"/>
        <color theme="1"/>
        <rFont val="Aptos Narrow"/>
      </rPr>
      <t>Supply and laying wiring same as Light points above but</t>
    </r>
    <r>
      <rPr>
        <b/>
        <sz val="13"/>
        <color theme="1"/>
        <rFont val="Aptos Narrow"/>
      </rPr>
      <t xml:space="preserve"> with out switch control </t>
    </r>
    <r>
      <rPr>
        <sz val="13"/>
        <color theme="1"/>
        <rFont val="Aptos Narrow"/>
      </rPr>
      <t xml:space="preserve">(wiring looped from Primary Light)
</t>
    </r>
  </si>
  <si>
    <t>6amp socket</t>
  </si>
  <si>
    <r>
      <rPr>
        <sz val="13"/>
        <color theme="1"/>
        <rFont val="Aptos Narrow"/>
      </rPr>
      <t>supply and fixing of</t>
    </r>
    <r>
      <rPr>
        <b/>
        <sz val="13"/>
        <color theme="1"/>
        <rFont val="Aptos Narrow"/>
      </rPr>
      <t xml:space="preserve"> 6A 5pin socket </t>
    </r>
    <r>
      <rPr>
        <sz val="13"/>
        <color theme="1"/>
        <rFont val="Aptos Narrow"/>
      </rPr>
      <t>with switch in anodised</t>
    </r>
    <r>
      <rPr>
        <b/>
        <sz val="13"/>
        <color theme="1"/>
        <rFont val="Aptos Narrow"/>
      </rPr>
      <t xml:space="preserve"> GI box and front plate/Switch plate</t>
    </r>
    <r>
      <rPr>
        <sz val="13"/>
        <color theme="1"/>
        <rFont val="Aptos Narrow"/>
      </rPr>
      <t xml:space="preserve"> complete with fixing accessories etc. as required.</t>
    </r>
  </si>
  <si>
    <t>Anchor-Roma</t>
  </si>
  <si>
    <t>No.</t>
  </si>
  <si>
    <t>16amp socket</t>
  </si>
  <si>
    <r>
      <rPr>
        <sz val="13"/>
        <color theme="1"/>
        <rFont val="Aptos Narrow"/>
      </rPr>
      <t>supply and fixing of</t>
    </r>
    <r>
      <rPr>
        <b/>
        <sz val="13"/>
        <color theme="1"/>
        <rFont val="Aptos Narrow"/>
      </rPr>
      <t xml:space="preserve"> 16A 5pin socket </t>
    </r>
    <r>
      <rPr>
        <sz val="13"/>
        <color theme="1"/>
        <rFont val="Aptos Narrow"/>
      </rPr>
      <t>with switch in anodised</t>
    </r>
    <r>
      <rPr>
        <b/>
        <sz val="13"/>
        <color theme="1"/>
        <rFont val="Aptos Narrow"/>
      </rPr>
      <t xml:space="preserve"> GI box and front plate/Switch plate</t>
    </r>
    <r>
      <rPr>
        <sz val="13"/>
        <color theme="1"/>
        <rFont val="Aptos Narrow"/>
      </rPr>
      <t xml:space="preserve"> complete with fixing accessories etc. as required.</t>
    </r>
  </si>
  <si>
    <t>Cat - 6</t>
  </si>
  <si>
    <r>
      <rPr>
        <sz val="13"/>
        <color theme="1"/>
        <rFont val="Aptos Narrow"/>
      </rPr>
      <t xml:space="preserve">Supply and laying of conduit pipe with </t>
    </r>
    <r>
      <rPr>
        <b/>
        <sz val="13"/>
        <color theme="1"/>
        <rFont val="Aptos Narrow"/>
      </rPr>
      <t xml:space="preserve">cable - 4 core </t>
    </r>
  </si>
  <si>
    <t>D-Link/Systimax</t>
  </si>
  <si>
    <t>Camera Wire</t>
  </si>
  <si>
    <r>
      <rPr>
        <sz val="13"/>
        <color theme="1"/>
        <rFont val="Aptos Narrow"/>
      </rPr>
      <t xml:space="preserve">Supply, installation, testing and commissioning of </t>
    </r>
    <r>
      <rPr>
        <b/>
        <sz val="13"/>
        <color theme="1"/>
        <rFont val="Aptos Narrow"/>
      </rPr>
      <t xml:space="preserve">Coaxial 3+1 (RG 59) Copper Cable both side Male and Female with BNC connector </t>
    </r>
    <r>
      <rPr>
        <sz val="13"/>
        <color theme="1"/>
        <rFont val="Aptos Narrow"/>
      </rPr>
      <t>of the following types including Video Signal and drawing through conduits, cable transmission</t>
    </r>
    <r>
      <rPr>
        <sz val="13"/>
        <color theme="1"/>
        <rFont val="Arial"/>
      </rPr>
      <t>.</t>
    </r>
  </si>
  <si>
    <t xml:space="preserve">D-Link </t>
  </si>
  <si>
    <t>Speaker Wire</t>
  </si>
  <si>
    <r>
      <rPr>
        <sz val="13"/>
        <color theme="1"/>
        <rFont val="Aptos Narrow"/>
      </rPr>
      <t xml:space="preserve">Supply and wiring of </t>
    </r>
    <r>
      <rPr>
        <b/>
        <sz val="13"/>
        <color theme="1"/>
        <rFont val="Aptos Narrow"/>
      </rPr>
      <t xml:space="preserve">0.75 sqmm Speaker wire  in heavy guage 25mm dia pvc conduit concealed </t>
    </r>
    <r>
      <rPr>
        <sz val="13"/>
        <color theme="1"/>
        <rFont val="Aptos Narrow"/>
      </rPr>
      <t>in wall or with suitable width casing and capping of approved quality along with required accessories when laid on ceiling</t>
    </r>
  </si>
  <si>
    <t>Finolex/Havells</t>
  </si>
  <si>
    <t>Recessed Swivel COB Light</t>
  </si>
  <si>
    <t>ABBY/ Equivalent.</t>
  </si>
  <si>
    <t>Pendent Down Light - 4'</t>
  </si>
  <si>
    <t>Allrounder 18w/22w</t>
  </si>
  <si>
    <t xml:space="preserve">8 Way TPN DB with isolator </t>
  </si>
  <si>
    <t>Supply &amp; Installation, testing and Commissioning of the 8 way TPN Double door DB with 100 AMPS ISOLATER - 4 Pole - 1No as incomer and Outgoings- 10 /25 A SP MCbs - 18 Nos and required all Materials etc., (Legrand)</t>
  </si>
  <si>
    <t>Legrand</t>
  </si>
  <si>
    <t>Ceiling Fan</t>
  </si>
  <si>
    <r>
      <rPr>
        <sz val="13"/>
        <color theme="1"/>
        <rFont val="Aptos Narrow"/>
      </rPr>
      <t>Supply and fixing of Ceiling - 42" (high speed)/</t>
    </r>
    <r>
      <rPr>
        <b/>
        <sz val="13"/>
        <color theme="1"/>
        <rFont val="Aptos Narrow"/>
      </rPr>
      <t>24"</t>
    </r>
  </si>
  <si>
    <t>Crompton/Usha/ Orient</t>
  </si>
  <si>
    <t>Fan Regulator</t>
  </si>
  <si>
    <t>Supply and fixing of Fan Regulator</t>
  </si>
  <si>
    <t>Fan Rod</t>
  </si>
  <si>
    <r>
      <rPr>
        <sz val="13"/>
        <color theme="1"/>
        <rFont val="Aptos Narrow"/>
      </rPr>
      <t xml:space="preserve">Supply and fixing of Anchor ROD for ceiling fan Upto </t>
    </r>
    <r>
      <rPr>
        <b/>
        <sz val="13"/>
        <color theme="1"/>
        <rFont val="Aptos Narrow"/>
      </rPr>
      <t>2'6"</t>
    </r>
  </si>
  <si>
    <t>Local</t>
  </si>
  <si>
    <t>Fan Anchor Bolt</t>
  </si>
  <si>
    <t>Supply and fixing of Anchor Bolt for Ceiling Fan</t>
  </si>
  <si>
    <t>Speakers</t>
  </si>
  <si>
    <t>Amplifire DPA 370</t>
  </si>
  <si>
    <t xml:space="preserve">Supply and Fixing of DVR 4U Rack </t>
  </si>
  <si>
    <t>OUTSTATION CHARGES 15% / L.S</t>
  </si>
  <si>
    <t>ELECTRICAL SUB TOTAL</t>
  </si>
  <si>
    <t>IGST 18%</t>
  </si>
  <si>
    <t>TOTAL GST 18%</t>
  </si>
  <si>
    <t>ELECTRICAL GRAND TOTAL</t>
  </si>
  <si>
    <t>Bank Details</t>
  </si>
  <si>
    <t>Ceritified that the particulars given above are true and correct</t>
  </si>
  <si>
    <t>Bank Name and A/C No. : HDFC BANK , 50200073035859</t>
  </si>
  <si>
    <t>For I FOUR U ENGINEERING SERVICES</t>
  </si>
  <si>
    <t>Terms and Conditions</t>
  </si>
  <si>
    <t>Common Seal</t>
  </si>
  <si>
    <t>Authorised Signatory</t>
  </si>
  <si>
    <t>Wiring  6sq mm</t>
  </si>
  <si>
    <t>Supply and wiring 6 sq mm 2 runs of 6 sqmm and one run of 2.5 sqmm in 25 mm PvC conduit concealed</t>
  </si>
  <si>
    <t>Fonolex</t>
  </si>
  <si>
    <t>Dlink</t>
  </si>
  <si>
    <t>Supplying and Fixing</t>
  </si>
  <si>
    <t xml:space="preserve">Bank IFSC and Address : HDFC0002679 , Sri Ram City, Saraidhela, Dhanbad , Jharkhand . Pin-828127 </t>
  </si>
  <si>
    <t>Feeder Road, Belgharia</t>
  </si>
  <si>
    <t>Office Address :  House No. 329, New Karmik Nagar, PO- ISM, Dhanbad, Jharkhand-826004 . +91 7042220470</t>
  </si>
  <si>
    <t>Nos</t>
  </si>
  <si>
    <t xml:space="preserve"> Ahuja</t>
  </si>
  <si>
    <t xml:space="preserve">AHUJA </t>
  </si>
  <si>
    <t>Havells</t>
  </si>
  <si>
    <t xml:space="preserve">Supply and wiring with 2 runs of 4 sqmm FRLS cables PVC insulated multistranded copper conductor wire and 1 run of 1.5 sqmm earth wire in heavy guage 25mm dia pvc conduit concealed </t>
  </si>
  <si>
    <t>Supply and wiring for Primary light point with 2 runs of 2.5sq.mm FRLS cables  PVC insulated copper Conductor multistrand wires alongwith one run of 1.0sqmm copper earthwire run in heavy guage 20/25mm dia PVC conduit concealed in wall</t>
  </si>
  <si>
    <t>Polycab/Finolex/ Havells</t>
  </si>
  <si>
    <t>Supplying,fixing of  12.7 cm (5") Full Range Speaker, 6W/100V, 100V line operation with easy power tap selection through a terminal block Speakers.                                                                                Make -  Ahuja CS-5061T</t>
  </si>
  <si>
    <t>Fixing of RECESSED SWIVEL COB LIGHT : LED light -225mm/9"
Ceiling Recessed mounted,Die Cast and Milled Aluminium, Steel , Primary Reflector
PC metallised CRI80, LED Life Time @ L70/B10 &gt;50,000 hours; Delivered Lumens: 2 x 1650 lm ; Efficacy (System - Im/watt) 113; PF &gt; 0.95 CCT: 4000k. Make - Abby or Equivalent.</t>
  </si>
  <si>
    <t xml:space="preserve">Fixing of PENDENT DOWN LIGHT:                                                                                                    Ceiling suspended LED profile fixture, Housing made of extruded aluminium with high transmission opal diffuser &amp; lenght of 1185mm, width-68mm, H: 85mm; Lifetime&gt; 50,000 hours at L70/B10; CRI&gt;80; Delivered Lumens 2212; Efficacy (System - Im/watt) 114; PF &gt; 0.95; CCT: 4000k  Make - Abby or Equivalent.  Work includes the fixation of support mechanism to the frame </t>
  </si>
  <si>
    <t>Fixing of Allrounder 18w/22w NW4000K/NW5700K. LED light - Dia 150 mm/6"
Ceiling Recessed mounted,Die cast  Aluminium , Opal High Transmission Diffuser , CRI80, LED Life Time @ L70/B10 &gt;50,000 hours; Delivered Lumens: 2202/2365 lm ; Efficacy (System - Im/watt) 128; PF &gt; 0.95 CCT: 4000k/5700K Make - Abby or Equivalent .</t>
  </si>
  <si>
    <t>Supplying and fixing of Amplifier with Bluetooth Inclusive of Pendrive 8GB. MAKE : AHUJA AMPLIFIER DPA 370 (Upto 5 Speakers)</t>
  </si>
  <si>
    <t>APLE-005-24/25</t>
  </si>
  <si>
    <t>Plot No.-IIC/3193, Category HIGI-II, Action Area-IIC, PO- New Town ,Near Akankha More, Kolkata -700160</t>
  </si>
  <si>
    <t>W/O : APL/WB/CIVL/24-25/59</t>
  </si>
  <si>
    <t>DVR 4U RACK</t>
  </si>
  <si>
    <t>MCB for Acs</t>
  </si>
  <si>
    <t xml:space="preserve">Supplying and Fixing of MCB </t>
  </si>
  <si>
    <t>Extra Items</t>
  </si>
  <si>
    <t>6 Amp Top</t>
  </si>
  <si>
    <t>16 Amp Top</t>
  </si>
  <si>
    <t>6 amp Switch</t>
  </si>
  <si>
    <t>16 AmpSwitch</t>
  </si>
  <si>
    <t>12 module surface mounted box</t>
  </si>
  <si>
    <t>6 Module Surface mounted box</t>
  </si>
  <si>
    <t>Anchor Roma</t>
  </si>
  <si>
    <t>Anchor</t>
  </si>
  <si>
    <t>2 Module surface mounted box</t>
  </si>
  <si>
    <t>Supplying and fixing</t>
  </si>
  <si>
    <t>Earthing wire</t>
  </si>
  <si>
    <t>4 MM FRLS Earthing wire</t>
  </si>
  <si>
    <t>RFT</t>
  </si>
  <si>
    <t>Rupees (In Words) : One Lakh Eighty Five Thousand One Forty Seven Rupees and Forty Nine Paisa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</si>
</sst>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 &quot;₹&quot;\ * #,##0.00_ ;_ &quot;₹&quot;\ * \-#,##0.00_ ;_ &quot;₹&quot;\ * &quot;-&quot;??_ ;_ @_ "/>
  </numFmts>
  <fonts count="40">
    <font>
      <sz val="10"/>
      <color rgb="FF000000"/>
      <name val="Arial"/>
      <scheme val="minor"/>
    </font>
    <font>
      <sz val="10"/>
      <color theme="1"/>
      <name val="Arial"/>
    </font>
    <font>
      <b/>
      <sz val="20"/>
      <color theme="1"/>
      <name val="Bookman Old Style"/>
    </font>
    <font>
      <sz val="10"/>
      <name val="Arial"/>
    </font>
    <font>
      <b/>
      <sz val="11"/>
      <color theme="1"/>
      <name val="Bookman Old Style"/>
    </font>
    <font>
      <b/>
      <sz val="12"/>
      <color theme="1"/>
      <name val="Bookman Old Style"/>
    </font>
    <font>
      <b/>
      <sz val="10"/>
      <color theme="1"/>
      <name val="Bookman Old Style"/>
    </font>
    <font>
      <b/>
      <sz val="20"/>
      <color rgb="FFFFFFFF"/>
      <name val="Bookman Old Style"/>
    </font>
    <font>
      <b/>
      <sz val="12"/>
      <color theme="1"/>
      <name val="Calibri"/>
    </font>
    <font>
      <b/>
      <sz val="12"/>
      <color theme="1"/>
      <name val="Arial"/>
    </font>
    <font>
      <b/>
      <sz val="15"/>
      <color rgb="FF0E2841"/>
      <name val="Aptos Narrow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3"/>
      <color theme="1"/>
      <name val="Arial"/>
    </font>
    <font>
      <sz val="13"/>
      <color theme="1"/>
      <name val="Aptos Narrow"/>
    </font>
    <font>
      <b/>
      <sz val="13"/>
      <color theme="1"/>
      <name val="Aptos Narrow"/>
    </font>
    <font>
      <sz val="13"/>
      <color theme="1"/>
      <name val="Calibri"/>
    </font>
    <font>
      <b/>
      <sz val="13"/>
      <color theme="1"/>
      <name val="Arial"/>
    </font>
    <font>
      <b/>
      <sz val="15"/>
      <color theme="1"/>
      <name val="Arial"/>
    </font>
    <font>
      <sz val="15"/>
      <color theme="1"/>
      <name val="Arial"/>
    </font>
    <font>
      <sz val="9"/>
      <color theme="1"/>
      <name val="Calibri"/>
    </font>
    <font>
      <sz val="7"/>
      <color theme="1"/>
      <name val="Calibri"/>
    </font>
    <font>
      <b/>
      <sz val="15"/>
      <color theme="1"/>
      <name val="Calibri"/>
    </font>
    <font>
      <sz val="10"/>
      <color theme="1"/>
      <name val="Arial"/>
      <scheme val="minor"/>
    </font>
    <font>
      <b/>
      <sz val="12"/>
      <color rgb="FF1F1F1F"/>
      <name val="Bookman Old Style"/>
    </font>
    <font>
      <b/>
      <sz val="12"/>
      <color rgb="FF0E2841"/>
      <name val="Aptos Narrow"/>
      <family val="2"/>
    </font>
    <font>
      <sz val="12"/>
      <name val="Arial"/>
      <family val="2"/>
    </font>
    <font>
      <b/>
      <sz val="15"/>
      <color theme="1"/>
      <name val="Calibri"/>
      <family val="2"/>
    </font>
    <font>
      <sz val="13"/>
      <color theme="1"/>
      <name val="Aptos Narrow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b/>
      <sz val="12"/>
      <name val="Arial"/>
      <family val="2"/>
    </font>
    <font>
      <b/>
      <sz val="11"/>
      <color theme="1"/>
      <name val="Aptos Narrow"/>
      <family val="2"/>
    </font>
    <font>
      <b/>
      <sz val="10"/>
      <name val="Arial"/>
      <family val="2"/>
    </font>
    <font>
      <b/>
      <sz val="10"/>
      <color rgb="FF0E2841"/>
      <name val="Arial"/>
      <family val="2"/>
    </font>
    <font>
      <b/>
      <sz val="10"/>
      <color rgb="FF000000"/>
      <name val="Arial"/>
      <family val="2"/>
      <scheme val="minor"/>
    </font>
    <font>
      <sz val="14"/>
      <name val="Calibri"/>
      <family val="2"/>
    </font>
    <font>
      <b/>
      <sz val="16"/>
      <color theme="1"/>
      <name val="Calibri"/>
      <family val="2"/>
    </font>
    <font>
      <sz val="14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DB9CA"/>
        <bgColor rgb="FFADB9CA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center"/>
    </xf>
    <xf numFmtId="0" fontId="1" fillId="0" borderId="5" xfId="0" applyFont="1" applyBorder="1"/>
    <xf numFmtId="0" fontId="4" fillId="0" borderId="0" xfId="0" applyFont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4" xfId="0" applyFont="1" applyBorder="1"/>
    <xf numFmtId="0" fontId="5" fillId="0" borderId="0" xfId="0" applyFont="1" applyAlignment="1">
      <alignment horizontal="center"/>
    </xf>
    <xf numFmtId="0" fontId="5" fillId="0" borderId="7" xfId="0" applyFont="1" applyBorder="1"/>
    <xf numFmtId="0" fontId="5" fillId="0" borderId="5" xfId="0" applyFont="1" applyBorder="1"/>
    <xf numFmtId="0" fontId="1" fillId="0" borderId="0" xfId="0" applyFont="1"/>
    <xf numFmtId="0" fontId="7" fillId="2" borderId="0" xfId="0" applyFont="1" applyFill="1" applyAlignment="1">
      <alignment horizontal="center"/>
    </xf>
    <xf numFmtId="0" fontId="9" fillId="0" borderId="15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8" fillId="0" borderId="15" xfId="0" applyFont="1" applyBorder="1" applyAlignment="1">
      <alignment horizontal="left"/>
    </xf>
    <xf numFmtId="0" fontId="10" fillId="0" borderId="10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1" fillId="0" borderId="17" xfId="0" applyFont="1" applyBorder="1" applyAlignment="1">
      <alignment horizontal="center" wrapText="1"/>
    </xf>
    <xf numFmtId="0" fontId="12" fillId="0" borderId="19" xfId="0" applyFont="1" applyBorder="1" applyAlignment="1">
      <alignment horizontal="center" wrapText="1"/>
    </xf>
    <xf numFmtId="0" fontId="9" fillId="0" borderId="17" xfId="0" applyFont="1" applyBorder="1" applyAlignment="1">
      <alignment horizontal="center" wrapText="1"/>
    </xf>
    <xf numFmtId="0" fontId="13" fillId="0" borderId="22" xfId="0" applyFont="1" applyBorder="1"/>
    <xf numFmtId="0" fontId="14" fillId="0" borderId="17" xfId="0" applyFont="1" applyBorder="1" applyAlignment="1">
      <alignment horizontal="center" wrapText="1"/>
    </xf>
    <xf numFmtId="0" fontId="15" fillId="0" borderId="23" xfId="0" applyFont="1" applyBorder="1" applyAlignment="1">
      <alignment wrapText="1"/>
    </xf>
    <xf numFmtId="0" fontId="15" fillId="0" borderId="5" xfId="0" applyFont="1" applyBorder="1"/>
    <xf numFmtId="0" fontId="15" fillId="0" borderId="22" xfId="0" applyFont="1" applyBorder="1"/>
    <xf numFmtId="0" fontId="19" fillId="0" borderId="5" xfId="0" applyFont="1" applyBorder="1"/>
    <xf numFmtId="0" fontId="19" fillId="0" borderId="5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3" fillId="0" borderId="5" xfId="0" applyFont="1" applyBorder="1"/>
    <xf numFmtId="0" fontId="8" fillId="2" borderId="0" xfId="0" applyFont="1" applyFill="1" applyAlignment="1">
      <alignment horizontal="center"/>
    </xf>
    <xf numFmtId="0" fontId="23" fillId="0" borderId="5" xfId="0" applyFont="1" applyBorder="1" applyAlignment="1">
      <alignment horizontal="center" vertical="top"/>
    </xf>
    <xf numFmtId="0" fontId="23" fillId="0" borderId="10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29" fillId="0" borderId="23" xfId="0" applyFont="1" applyBorder="1" applyAlignment="1">
      <alignment wrapText="1"/>
    </xf>
    <xf numFmtId="0" fontId="31" fillId="0" borderId="14" xfId="0" applyFont="1" applyBorder="1" applyAlignment="1">
      <alignment horizontal="left"/>
    </xf>
    <xf numFmtId="0" fontId="0" fillId="0" borderId="0" xfId="0"/>
    <xf numFmtId="14" fontId="5" fillId="0" borderId="9" xfId="0" applyNumberFormat="1" applyFont="1" applyBorder="1" applyAlignment="1">
      <alignment horizontal="left"/>
    </xf>
    <xf numFmtId="0" fontId="15" fillId="0" borderId="23" xfId="0" applyFont="1" applyBorder="1" applyAlignment="1">
      <alignment vertical="top" wrapText="1"/>
    </xf>
    <xf numFmtId="0" fontId="15" fillId="0" borderId="2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2" fillId="0" borderId="19" xfId="0" applyFont="1" applyBorder="1" applyAlignment="1">
      <alignment horizontal="center" vertical="center" wrapText="1"/>
    </xf>
    <xf numFmtId="0" fontId="13" fillId="0" borderId="23" xfId="0" applyFont="1" applyBorder="1" applyAlignment="1">
      <alignment vertical="center"/>
    </xf>
    <xf numFmtId="0" fontId="15" fillId="0" borderId="23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29" fillId="0" borderId="23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2" fillId="0" borderId="19" xfId="0" applyFont="1" applyBorder="1" applyAlignment="1">
      <alignment horizontal="center" vertical="center"/>
    </xf>
    <xf numFmtId="0" fontId="29" fillId="0" borderId="23" xfId="0" applyFont="1" applyBorder="1" applyAlignment="1">
      <alignment horizontal="center" vertical="center"/>
    </xf>
    <xf numFmtId="1" fontId="17" fillId="0" borderId="23" xfId="0" applyNumberFormat="1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0" fontId="10" fillId="0" borderId="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3" fillId="0" borderId="24" xfId="0" applyFont="1" applyBorder="1" applyAlignment="1">
      <alignment vertical="center"/>
    </xf>
    <xf numFmtId="44" fontId="15" fillId="0" borderId="24" xfId="0" applyNumberFormat="1" applyFont="1" applyBorder="1" applyAlignment="1">
      <alignment horizontal="center" vertical="center"/>
    </xf>
    <xf numFmtId="44" fontId="15" fillId="0" borderId="24" xfId="0" applyNumberFormat="1" applyFont="1" applyBorder="1" applyAlignment="1">
      <alignment vertical="center"/>
    </xf>
    <xf numFmtId="0" fontId="15" fillId="0" borderId="23" xfId="0" applyFont="1" applyBorder="1" applyAlignment="1">
      <alignment vertical="center" wrapText="1"/>
    </xf>
    <xf numFmtId="44" fontId="13" fillId="0" borderId="24" xfId="0" applyNumberFormat="1" applyFont="1" applyBorder="1" applyAlignment="1">
      <alignment horizontal="center" vertical="center"/>
    </xf>
    <xf numFmtId="44" fontId="33" fillId="0" borderId="24" xfId="0" applyNumberFormat="1" applyFont="1" applyBorder="1" applyAlignment="1">
      <alignment horizontal="center" vertical="center"/>
    </xf>
    <xf numFmtId="0" fontId="29" fillId="0" borderId="23" xfId="0" applyFont="1" applyBorder="1" applyAlignment="1">
      <alignment vertical="center" wrapText="1"/>
    </xf>
    <xf numFmtId="0" fontId="0" fillId="0" borderId="0" xfId="0"/>
    <xf numFmtId="0" fontId="0" fillId="0" borderId="0" xfId="0"/>
    <xf numFmtId="0" fontId="37" fillId="0" borderId="31" xfId="0" applyFont="1" applyBorder="1" applyAlignment="1">
      <alignment horizontal="center" vertical="center" wrapText="1"/>
    </xf>
    <xf numFmtId="0" fontId="38" fillId="0" borderId="31" xfId="0" applyFont="1" applyBorder="1" applyAlignment="1">
      <alignment horizontal="center" vertical="center" wrapText="1"/>
    </xf>
    <xf numFmtId="0" fontId="39" fillId="0" borderId="3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4" fillId="0" borderId="0" xfId="0" applyFont="1" applyAlignment="1">
      <alignment horizontal="center" wrapText="1"/>
    </xf>
    <xf numFmtId="0" fontId="0" fillId="0" borderId="0" xfId="0"/>
    <xf numFmtId="0" fontId="3" fillId="0" borderId="7" xfId="0" applyFont="1" applyBorder="1"/>
    <xf numFmtId="0" fontId="5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6" xfId="0" applyFont="1" applyBorder="1"/>
    <xf numFmtId="0" fontId="5" fillId="0" borderId="12" xfId="0" applyFont="1" applyBorder="1"/>
    <xf numFmtId="0" fontId="3" fillId="0" borderId="13" xfId="0" applyFont="1" applyBorder="1"/>
    <xf numFmtId="0" fontId="31" fillId="0" borderId="15" xfId="0" applyFont="1" applyBorder="1" applyAlignment="1">
      <alignment horizontal="left" wrapText="1"/>
    </xf>
    <xf numFmtId="0" fontId="34" fillId="0" borderId="15" xfId="0" applyFont="1" applyBorder="1"/>
    <xf numFmtId="0" fontId="4" fillId="0" borderId="16" xfId="0" applyFont="1" applyBorder="1"/>
    <xf numFmtId="0" fontId="6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3" fillId="0" borderId="11" xfId="0" applyFont="1" applyBorder="1"/>
    <xf numFmtId="0" fontId="4" fillId="0" borderId="11" xfId="0" applyFont="1" applyBorder="1" applyAlignment="1">
      <alignment horizontal="center"/>
    </xf>
    <xf numFmtId="0" fontId="3" fillId="0" borderId="9" xfId="0" applyFont="1" applyBorder="1"/>
    <xf numFmtId="0" fontId="1" fillId="0" borderId="0" xfId="0" applyFont="1"/>
    <xf numFmtId="0" fontId="5" fillId="0" borderId="1" xfId="0" applyFont="1" applyBorder="1"/>
    <xf numFmtId="0" fontId="26" fillId="2" borderId="1" xfId="0" applyFont="1" applyFill="1" applyBorder="1" applyAlignment="1">
      <alignment horizontal="left" vertical="top"/>
    </xf>
    <xf numFmtId="0" fontId="32" fillId="0" borderId="3" xfId="0" applyFont="1" applyBorder="1"/>
    <xf numFmtId="0" fontId="32" fillId="0" borderId="4" xfId="0" applyFont="1" applyBorder="1"/>
    <xf numFmtId="49" fontId="35" fillId="2" borderId="5" xfId="0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wrapText="1"/>
    </xf>
    <xf numFmtId="0" fontId="34" fillId="0" borderId="7" xfId="0" applyFont="1" applyBorder="1" applyAlignment="1">
      <alignment wrapText="1"/>
    </xf>
    <xf numFmtId="0" fontId="34" fillId="0" borderId="5" xfId="0" applyFont="1" applyBorder="1" applyAlignment="1">
      <alignment wrapText="1"/>
    </xf>
    <xf numFmtId="0" fontId="9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16" fillId="0" borderId="22" xfId="0" applyFont="1" applyBorder="1" applyAlignment="1">
      <alignment horizontal="right"/>
    </xf>
    <xf numFmtId="0" fontId="3" fillId="0" borderId="26" xfId="0" applyFont="1" applyBorder="1"/>
    <xf numFmtId="0" fontId="3" fillId="0" borderId="21" xfId="0" applyFont="1" applyBorder="1"/>
    <xf numFmtId="0" fontId="19" fillId="0" borderId="12" xfId="0" applyFont="1" applyBorder="1" applyAlignment="1">
      <alignment horizontal="center"/>
    </xf>
    <xf numFmtId="0" fontId="20" fillId="0" borderId="1" xfId="0" applyFont="1" applyBorder="1"/>
    <xf numFmtId="0" fontId="3" fillId="0" borderId="5" xfId="0" applyFont="1" applyBorder="1"/>
    <xf numFmtId="0" fontId="23" fillId="0" borderId="6" xfId="0" applyFont="1" applyBorder="1"/>
    <xf numFmtId="0" fontId="18" fillId="0" borderId="22" xfId="0" applyFont="1" applyBorder="1" applyAlignment="1">
      <alignment horizontal="right"/>
    </xf>
    <xf numFmtId="0" fontId="30" fillId="0" borderId="12" xfId="0" applyFont="1" applyBorder="1"/>
    <xf numFmtId="0" fontId="27" fillId="0" borderId="27" xfId="0" applyFont="1" applyBorder="1"/>
    <xf numFmtId="0" fontId="27" fillId="0" borderId="13" xfId="0" applyFont="1" applyBorder="1"/>
    <xf numFmtId="0" fontId="19" fillId="0" borderId="12" xfId="0" applyFont="1" applyBorder="1"/>
    <xf numFmtId="0" fontId="3" fillId="0" borderId="27" xfId="0" applyFont="1" applyBorder="1"/>
    <xf numFmtId="0" fontId="23" fillId="0" borderId="16" xfId="0" applyFont="1" applyBorder="1" applyAlignment="1">
      <alignment horizontal="center" vertical="top"/>
    </xf>
    <xf numFmtId="0" fontId="23" fillId="0" borderId="6" xfId="0" applyFont="1" applyBorder="1" applyAlignment="1">
      <alignment horizontal="center" vertical="top"/>
    </xf>
    <xf numFmtId="0" fontId="3" fillId="0" borderId="6" xfId="0" applyFont="1" applyBorder="1"/>
    <xf numFmtId="0" fontId="3" fillId="0" borderId="8" xfId="0" applyFont="1" applyBorder="1"/>
    <xf numFmtId="0" fontId="21" fillId="0" borderId="1" xfId="0" applyFont="1" applyBorder="1" applyAlignment="1">
      <alignment horizontal="center"/>
    </xf>
    <xf numFmtId="0" fontId="28" fillId="3" borderId="28" xfId="0" applyFont="1" applyFill="1" applyBorder="1" applyAlignment="1">
      <alignment horizontal="center" wrapText="1"/>
    </xf>
    <xf numFmtId="0" fontId="3" fillId="0" borderId="29" xfId="0" applyFont="1" applyBorder="1" applyAlignment="1">
      <alignment wrapText="1"/>
    </xf>
    <xf numFmtId="0" fontId="3" fillId="0" borderId="30" xfId="0" applyFont="1" applyBorder="1" applyAlignment="1">
      <alignment wrapText="1"/>
    </xf>
    <xf numFmtId="0" fontId="23" fillId="0" borderId="5" xfId="0" applyFont="1" applyBorder="1"/>
    <xf numFmtId="0" fontId="23" fillId="3" borderId="16" xfId="0" applyFont="1" applyFill="1" applyBorder="1" applyAlignment="1">
      <alignment horizontal="center"/>
    </xf>
    <xf numFmtId="0" fontId="39" fillId="0" borderId="31" xfId="0" applyFont="1" applyBorder="1" applyAlignment="1">
      <alignment horizontal="center" vertical="center"/>
    </xf>
    <xf numFmtId="44" fontId="12" fillId="0" borderId="2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81150" cy="4762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0950" y="0"/>
          <a:ext cx="1581150" cy="4762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R956"/>
  <sheetViews>
    <sheetView tabSelected="1" topLeftCell="A49" workbookViewId="0">
      <selection activeCell="J56" sqref="J56"/>
    </sheetView>
  </sheetViews>
  <sheetFormatPr defaultColWidth="12.6640625" defaultRowHeight="15" customHeight="1"/>
  <cols>
    <col min="1" max="1" width="17.88671875" customWidth="1"/>
    <col min="2" max="2" width="17.88671875" style="50" customWidth="1"/>
    <col min="3" max="3" width="59" customWidth="1"/>
    <col min="4" max="4" width="23.88671875" style="61" customWidth="1"/>
    <col min="5" max="6" width="12.6640625" style="61" customWidth="1"/>
    <col min="7" max="7" width="12.6640625" style="61"/>
    <col min="8" max="8" width="10.5546875" style="61" customWidth="1"/>
    <col min="9" max="9" width="14.77734375" style="61" customWidth="1"/>
  </cols>
  <sheetData>
    <row r="1" spans="1:18" ht="15.75" customHeight="1">
      <c r="A1" s="1"/>
      <c r="B1" s="92"/>
      <c r="C1" s="94" t="s">
        <v>0</v>
      </c>
      <c r="D1" s="95"/>
      <c r="E1" s="95"/>
      <c r="F1" s="95"/>
      <c r="G1" s="95"/>
      <c r="H1" s="95"/>
      <c r="I1" s="96"/>
      <c r="J1" s="2"/>
      <c r="K1" s="2"/>
    </row>
    <row r="2" spans="1:18" ht="15.75" customHeight="1">
      <c r="A2" s="3"/>
      <c r="B2" s="93"/>
      <c r="C2" s="97" t="s">
        <v>97</v>
      </c>
      <c r="D2" s="98"/>
      <c r="E2" s="98"/>
      <c r="F2" s="98"/>
      <c r="G2" s="98"/>
      <c r="H2" s="98"/>
      <c r="I2" s="99"/>
      <c r="J2" s="2"/>
      <c r="K2" s="2"/>
    </row>
    <row r="3" spans="1:18" ht="15.75" customHeight="1">
      <c r="A3" s="5"/>
      <c r="B3" s="100" t="s">
        <v>1</v>
      </c>
      <c r="C3" s="98"/>
      <c r="D3" s="98"/>
      <c r="E3" s="98"/>
      <c r="F3" s="98"/>
      <c r="G3" s="98"/>
      <c r="H3" s="98"/>
      <c r="I3" s="99"/>
      <c r="J3" s="4"/>
      <c r="K3" s="4"/>
    </row>
    <row r="4" spans="1:18" ht="15.75" customHeight="1">
      <c r="A4" s="6"/>
      <c r="B4" s="40" t="s">
        <v>2</v>
      </c>
      <c r="C4" s="7" t="s">
        <v>110</v>
      </c>
      <c r="D4" s="51"/>
      <c r="E4" s="101" t="s">
        <v>3</v>
      </c>
      <c r="F4" s="95"/>
      <c r="G4" s="102" t="s">
        <v>4</v>
      </c>
      <c r="H4" s="95"/>
      <c r="I4" s="96"/>
      <c r="J4" s="8"/>
      <c r="K4" s="8"/>
    </row>
    <row r="5" spans="1:18" ht="15.75" customHeight="1">
      <c r="A5" s="5"/>
      <c r="B5" s="41" t="s">
        <v>5</v>
      </c>
      <c r="C5" s="9" t="s">
        <v>6</v>
      </c>
      <c r="D5" s="51"/>
      <c r="E5" s="110" t="s">
        <v>7</v>
      </c>
      <c r="F5" s="98"/>
      <c r="G5" s="103" t="s">
        <v>8</v>
      </c>
      <c r="H5" s="98"/>
      <c r="I5" s="99"/>
    </row>
    <row r="6" spans="1:18" ht="15.75" customHeight="1">
      <c r="A6" s="10"/>
      <c r="B6" s="104" t="s">
        <v>9</v>
      </c>
      <c r="C6" s="99"/>
      <c r="D6" s="51"/>
      <c r="E6" s="110" t="s">
        <v>10</v>
      </c>
      <c r="F6" s="98"/>
      <c r="G6" s="111">
        <v>45695</v>
      </c>
      <c r="H6" s="112"/>
      <c r="I6" s="113"/>
    </row>
    <row r="7" spans="1:18" ht="15.75" customHeight="1" thickBot="1">
      <c r="A7" s="6"/>
      <c r="B7" s="42" t="s">
        <v>11</v>
      </c>
      <c r="C7" s="37">
        <v>45695</v>
      </c>
      <c r="D7" s="51"/>
      <c r="E7" s="114" t="s">
        <v>12</v>
      </c>
      <c r="F7" s="115"/>
      <c r="G7" s="116" t="s">
        <v>96</v>
      </c>
      <c r="H7" s="115"/>
      <c r="I7" s="117"/>
    </row>
    <row r="8" spans="1:18" ht="15.75" customHeight="1" thickBot="1">
      <c r="A8" s="3"/>
      <c r="B8" s="43"/>
      <c r="C8" s="11"/>
      <c r="D8" s="51"/>
      <c r="E8" s="118"/>
      <c r="F8" s="98"/>
      <c r="G8" s="118"/>
      <c r="H8" s="98"/>
      <c r="I8" s="99"/>
      <c r="J8" s="12"/>
      <c r="K8" s="12"/>
      <c r="L8" s="12"/>
      <c r="M8" s="12"/>
      <c r="N8" s="12"/>
      <c r="O8" s="12"/>
      <c r="P8" s="12"/>
      <c r="Q8" s="12"/>
      <c r="R8" s="12"/>
    </row>
    <row r="9" spans="1:18" ht="15.75" customHeight="1">
      <c r="A9" s="10"/>
      <c r="B9" s="105" t="s">
        <v>13</v>
      </c>
      <c r="C9" s="106"/>
      <c r="D9" s="51"/>
      <c r="E9" s="119" t="s">
        <v>14</v>
      </c>
      <c r="F9" s="95"/>
      <c r="G9" s="95"/>
      <c r="H9" s="95"/>
      <c r="I9" s="96"/>
    </row>
    <row r="10" spans="1:18" ht="15.75" customHeight="1">
      <c r="A10" s="5"/>
      <c r="B10" s="41" t="s">
        <v>15</v>
      </c>
      <c r="C10" s="35" t="s">
        <v>16</v>
      </c>
      <c r="D10" s="51"/>
      <c r="E10" s="62" t="s">
        <v>15</v>
      </c>
      <c r="F10" s="120" t="s">
        <v>16</v>
      </c>
      <c r="G10" s="121"/>
      <c r="H10" s="121"/>
      <c r="I10" s="122"/>
    </row>
    <row r="11" spans="1:18" ht="15.75" customHeight="1">
      <c r="A11" s="5"/>
      <c r="B11" s="41" t="s">
        <v>17</v>
      </c>
      <c r="C11" s="107" t="s">
        <v>18</v>
      </c>
      <c r="D11" s="51"/>
      <c r="E11" s="63" t="s">
        <v>17</v>
      </c>
      <c r="F11" s="123" t="s">
        <v>111</v>
      </c>
      <c r="G11" s="124"/>
      <c r="H11" s="124"/>
      <c r="I11" s="125"/>
    </row>
    <row r="12" spans="1:18" ht="15.75" customHeight="1">
      <c r="A12" s="3"/>
      <c r="B12" s="43"/>
      <c r="C12" s="108"/>
      <c r="D12" s="51"/>
      <c r="E12" s="64"/>
      <c r="F12" s="126"/>
      <c r="G12" s="124"/>
      <c r="H12" s="124"/>
      <c r="I12" s="125"/>
    </row>
    <row r="13" spans="1:18" ht="15.75" customHeight="1">
      <c r="A13" s="5"/>
      <c r="B13" s="41" t="s">
        <v>19</v>
      </c>
      <c r="C13" s="13" t="s">
        <v>20</v>
      </c>
      <c r="D13" s="51"/>
      <c r="E13" s="63" t="s">
        <v>19</v>
      </c>
      <c r="F13" s="127" t="s">
        <v>20</v>
      </c>
      <c r="G13" s="98"/>
      <c r="H13" s="98"/>
      <c r="I13" s="99"/>
    </row>
    <row r="14" spans="1:18" ht="15.75" customHeight="1">
      <c r="A14" s="5"/>
      <c r="B14" s="41" t="s">
        <v>21</v>
      </c>
      <c r="C14" s="14">
        <v>19</v>
      </c>
      <c r="D14" s="51"/>
      <c r="E14" s="63" t="s">
        <v>21</v>
      </c>
      <c r="F14" s="128">
        <v>19</v>
      </c>
      <c r="G14" s="98"/>
      <c r="H14" s="98"/>
      <c r="I14" s="99"/>
    </row>
    <row r="15" spans="1:18" ht="15.75" customHeight="1">
      <c r="A15" s="5"/>
      <c r="B15" s="41" t="s">
        <v>22</v>
      </c>
      <c r="C15" s="15" t="s">
        <v>23</v>
      </c>
      <c r="D15" s="51"/>
      <c r="E15" s="65" t="s">
        <v>22</v>
      </c>
      <c r="F15" s="129" t="s">
        <v>23</v>
      </c>
      <c r="G15" s="115"/>
      <c r="H15" s="115"/>
      <c r="I15" s="117"/>
    </row>
    <row r="16" spans="1:18" ht="15.75" customHeight="1">
      <c r="A16" s="3"/>
      <c r="B16" s="109" t="s">
        <v>112</v>
      </c>
      <c r="C16" s="106"/>
      <c r="D16" s="51"/>
      <c r="E16" s="66"/>
      <c r="F16" s="66"/>
      <c r="G16" s="66"/>
      <c r="H16" s="66"/>
      <c r="I16" s="77"/>
    </row>
    <row r="17" spans="1:9" ht="15.75" customHeight="1">
      <c r="A17" s="16"/>
      <c r="B17" s="44"/>
      <c r="C17" s="17"/>
      <c r="D17" s="52"/>
      <c r="E17" s="52"/>
      <c r="F17" s="52"/>
      <c r="G17" s="52"/>
      <c r="H17" s="52"/>
      <c r="I17" s="78"/>
    </row>
    <row r="18" spans="1:9" ht="15.75" customHeight="1">
      <c r="A18" s="18" t="s">
        <v>24</v>
      </c>
      <c r="B18" s="45" t="s">
        <v>25</v>
      </c>
      <c r="C18" s="19" t="s">
        <v>26</v>
      </c>
      <c r="D18" s="53" t="s">
        <v>27</v>
      </c>
      <c r="E18" s="67" t="s">
        <v>28</v>
      </c>
      <c r="F18" s="73" t="s">
        <v>29</v>
      </c>
      <c r="G18" s="73" t="s">
        <v>30</v>
      </c>
      <c r="H18" s="73" t="s">
        <v>31</v>
      </c>
      <c r="I18" s="79" t="s">
        <v>32</v>
      </c>
    </row>
    <row r="19" spans="1:9" ht="15.75" customHeight="1" thickBot="1">
      <c r="A19" s="20"/>
      <c r="B19" s="46" t="s">
        <v>33</v>
      </c>
      <c r="C19" s="21"/>
      <c r="D19" s="54"/>
      <c r="E19" s="68"/>
      <c r="F19" s="68"/>
      <c r="G19" s="68"/>
      <c r="H19" s="68"/>
      <c r="I19" s="80"/>
    </row>
    <row r="20" spans="1:9" ht="109.2" customHeight="1" thickBot="1">
      <c r="A20" s="22">
        <v>1</v>
      </c>
      <c r="B20" s="39" t="s">
        <v>34</v>
      </c>
      <c r="C20" s="38" t="s">
        <v>103</v>
      </c>
      <c r="D20" s="55">
        <v>998391</v>
      </c>
      <c r="E20" s="69" t="s">
        <v>35</v>
      </c>
      <c r="F20" s="70" t="s">
        <v>36</v>
      </c>
      <c r="G20" s="70">
        <v>45</v>
      </c>
      <c r="H20" s="76">
        <v>403.25</v>
      </c>
      <c r="I20" s="81">
        <f>G20*H20</f>
        <v>18146.25</v>
      </c>
    </row>
    <row r="21" spans="1:9" ht="87.6" customHeight="1" thickBot="1">
      <c r="A21" s="22">
        <v>2</v>
      </c>
      <c r="B21" s="39" t="s">
        <v>37</v>
      </c>
      <c r="C21" s="38" t="s">
        <v>102</v>
      </c>
      <c r="D21" s="55">
        <v>998391</v>
      </c>
      <c r="E21" s="69" t="s">
        <v>35</v>
      </c>
      <c r="F21" s="70" t="s">
        <v>36</v>
      </c>
      <c r="G21" s="70">
        <v>50</v>
      </c>
      <c r="H21" s="70">
        <v>93</v>
      </c>
      <c r="I21" s="81">
        <f t="shared" ref="I21:I48" si="0">G21*H21</f>
        <v>4650</v>
      </c>
    </row>
    <row r="22" spans="1:9" ht="66" customHeight="1" thickBot="1">
      <c r="A22" s="22">
        <v>3</v>
      </c>
      <c r="B22" s="39" t="s">
        <v>90</v>
      </c>
      <c r="C22" s="38" t="s">
        <v>91</v>
      </c>
      <c r="D22" s="55">
        <v>998391</v>
      </c>
      <c r="E22" s="69" t="s">
        <v>92</v>
      </c>
      <c r="F22" s="70" t="s">
        <v>36</v>
      </c>
      <c r="G22" s="70">
        <v>70</v>
      </c>
      <c r="H22" s="70">
        <v>35.520000000000003</v>
      </c>
      <c r="I22" s="81">
        <f>H22*G22</f>
        <v>2486.4</v>
      </c>
    </row>
    <row r="23" spans="1:9" ht="99" customHeight="1" thickBot="1">
      <c r="A23" s="22">
        <v>4</v>
      </c>
      <c r="B23" s="39" t="s">
        <v>38</v>
      </c>
      <c r="C23" s="83" t="s">
        <v>39</v>
      </c>
      <c r="D23" s="55">
        <v>998391</v>
      </c>
      <c r="E23" s="69" t="s">
        <v>104</v>
      </c>
      <c r="F23" s="70" t="s">
        <v>40</v>
      </c>
      <c r="G23" s="70">
        <v>700</v>
      </c>
      <c r="H23" s="70">
        <v>24</v>
      </c>
      <c r="I23" s="81">
        <f t="shared" si="0"/>
        <v>16800</v>
      </c>
    </row>
    <row r="24" spans="1:9" ht="80.400000000000006" customHeight="1" thickBot="1">
      <c r="A24" s="22">
        <v>5</v>
      </c>
      <c r="B24" s="39" t="s">
        <v>41</v>
      </c>
      <c r="C24" s="23" t="s">
        <v>42</v>
      </c>
      <c r="D24" s="55">
        <v>998391</v>
      </c>
      <c r="E24" s="69" t="s">
        <v>104</v>
      </c>
      <c r="F24" s="70" t="s">
        <v>40</v>
      </c>
      <c r="G24" s="70">
        <v>275</v>
      </c>
      <c r="H24" s="70">
        <v>44</v>
      </c>
      <c r="I24" s="81">
        <f t="shared" si="0"/>
        <v>12100</v>
      </c>
    </row>
    <row r="25" spans="1:9" ht="64.8" customHeight="1" thickBot="1">
      <c r="A25" s="22">
        <v>6</v>
      </c>
      <c r="B25" s="39" t="s">
        <v>43</v>
      </c>
      <c r="C25" s="38" t="s">
        <v>44</v>
      </c>
      <c r="D25" s="55">
        <v>998391</v>
      </c>
      <c r="E25" s="69" t="s">
        <v>45</v>
      </c>
      <c r="F25" s="70" t="s">
        <v>46</v>
      </c>
      <c r="G25" s="70">
        <v>300</v>
      </c>
      <c r="H25" s="70">
        <v>26</v>
      </c>
      <c r="I25" s="81">
        <f t="shared" si="0"/>
        <v>7800</v>
      </c>
    </row>
    <row r="26" spans="1:9" ht="53.4" customHeight="1" thickBot="1">
      <c r="A26" s="22">
        <v>7</v>
      </c>
      <c r="B26" s="39" t="s">
        <v>47</v>
      </c>
      <c r="C26" s="23" t="s">
        <v>48</v>
      </c>
      <c r="D26" s="55">
        <v>998391</v>
      </c>
      <c r="E26" s="69" t="s">
        <v>45</v>
      </c>
      <c r="F26" s="70" t="s">
        <v>46</v>
      </c>
      <c r="G26" s="70">
        <v>360</v>
      </c>
      <c r="H26" s="70">
        <v>14</v>
      </c>
      <c r="I26" s="81">
        <f t="shared" si="0"/>
        <v>5040</v>
      </c>
    </row>
    <row r="27" spans="1:9" ht="15.75" customHeight="1">
      <c r="A27" s="22">
        <v>8</v>
      </c>
      <c r="B27" s="39" t="s">
        <v>49</v>
      </c>
      <c r="C27" s="23" t="s">
        <v>50</v>
      </c>
      <c r="D27" s="55">
        <v>998391</v>
      </c>
      <c r="E27" s="70" t="s">
        <v>51</v>
      </c>
      <c r="F27" s="70" t="s">
        <v>36</v>
      </c>
      <c r="G27" s="70">
        <v>28</v>
      </c>
      <c r="H27" s="70">
        <v>160</v>
      </c>
      <c r="I27" s="81">
        <f t="shared" si="0"/>
        <v>4480</v>
      </c>
    </row>
    <row r="28" spans="1:9" ht="15.75" customHeight="1">
      <c r="A28" s="22">
        <v>9</v>
      </c>
      <c r="B28" s="39" t="s">
        <v>52</v>
      </c>
      <c r="C28" s="23" t="s">
        <v>53</v>
      </c>
      <c r="D28" s="55">
        <v>998391</v>
      </c>
      <c r="E28" s="69" t="s">
        <v>54</v>
      </c>
      <c r="F28" s="70" t="s">
        <v>36</v>
      </c>
      <c r="G28" s="70">
        <v>27</v>
      </c>
      <c r="H28" s="76">
        <v>475</v>
      </c>
      <c r="I28" s="81">
        <f t="shared" si="0"/>
        <v>12825</v>
      </c>
    </row>
    <row r="29" spans="1:9" ht="15.75" customHeight="1">
      <c r="A29" s="22">
        <v>10</v>
      </c>
      <c r="B29" s="39" t="s">
        <v>55</v>
      </c>
      <c r="C29" s="23" t="s">
        <v>56</v>
      </c>
      <c r="D29" s="55">
        <v>998391</v>
      </c>
      <c r="E29" s="69" t="s">
        <v>57</v>
      </c>
      <c r="F29" s="70" t="s">
        <v>36</v>
      </c>
      <c r="G29" s="70">
        <v>20</v>
      </c>
      <c r="H29" s="70">
        <v>103</v>
      </c>
      <c r="I29" s="81">
        <f t="shared" si="0"/>
        <v>2060</v>
      </c>
    </row>
    <row r="30" spans="1:9" ht="15.75" customHeight="1">
      <c r="A30" s="22">
        <v>11</v>
      </c>
      <c r="B30" s="39" t="s">
        <v>58</v>
      </c>
      <c r="C30" s="23" t="s">
        <v>106</v>
      </c>
      <c r="D30" s="55">
        <v>998391</v>
      </c>
      <c r="E30" s="69" t="s">
        <v>59</v>
      </c>
      <c r="F30" s="70" t="s">
        <v>98</v>
      </c>
      <c r="G30" s="75">
        <v>350</v>
      </c>
      <c r="H30" s="70">
        <v>7</v>
      </c>
      <c r="I30" s="81">
        <f t="shared" si="0"/>
        <v>2450</v>
      </c>
    </row>
    <row r="31" spans="1:9" ht="15.75" customHeight="1">
      <c r="A31" s="22">
        <v>12</v>
      </c>
      <c r="B31" s="39" t="s">
        <v>60</v>
      </c>
      <c r="C31" s="23" t="s">
        <v>107</v>
      </c>
      <c r="D31" s="55">
        <v>998391</v>
      </c>
      <c r="E31" s="69" t="s">
        <v>59</v>
      </c>
      <c r="F31" s="70" t="s">
        <v>98</v>
      </c>
      <c r="G31" s="75">
        <v>600</v>
      </c>
      <c r="H31" s="70">
        <v>3</v>
      </c>
      <c r="I31" s="81">
        <f t="shared" si="0"/>
        <v>1800</v>
      </c>
    </row>
    <row r="32" spans="1:9" ht="15.75" customHeight="1" thickBot="1">
      <c r="A32" s="22">
        <v>13</v>
      </c>
      <c r="B32" s="39" t="s">
        <v>61</v>
      </c>
      <c r="C32" s="23" t="s">
        <v>108</v>
      </c>
      <c r="D32" s="55">
        <v>998391</v>
      </c>
      <c r="E32" s="69" t="s">
        <v>59</v>
      </c>
      <c r="F32" s="70" t="s">
        <v>98</v>
      </c>
      <c r="G32" s="75">
        <v>250</v>
      </c>
      <c r="H32" s="70">
        <v>52</v>
      </c>
      <c r="I32" s="81">
        <f t="shared" si="0"/>
        <v>13000</v>
      </c>
    </row>
    <row r="33" spans="1:9" ht="15.75" customHeight="1" thickBot="1">
      <c r="A33" s="22">
        <v>14</v>
      </c>
      <c r="B33" s="39" t="s">
        <v>62</v>
      </c>
      <c r="C33" s="23" t="s">
        <v>63</v>
      </c>
      <c r="D33" s="55">
        <v>998391</v>
      </c>
      <c r="E33" s="70" t="s">
        <v>64</v>
      </c>
      <c r="F33" s="70" t="s">
        <v>98</v>
      </c>
      <c r="G33" s="70">
        <v>13000</v>
      </c>
      <c r="H33" s="70">
        <v>1</v>
      </c>
      <c r="I33" s="81">
        <f t="shared" si="0"/>
        <v>13000</v>
      </c>
    </row>
    <row r="34" spans="1:9" ht="15.75" customHeight="1" thickBot="1">
      <c r="A34" s="22">
        <v>15</v>
      </c>
      <c r="B34" s="39" t="s">
        <v>65</v>
      </c>
      <c r="C34" s="23" t="s">
        <v>66</v>
      </c>
      <c r="D34" s="55">
        <v>998391</v>
      </c>
      <c r="E34" s="69" t="s">
        <v>67</v>
      </c>
      <c r="F34" s="70" t="s">
        <v>98</v>
      </c>
      <c r="G34" s="70">
        <v>2300</v>
      </c>
      <c r="H34" s="70">
        <v>6</v>
      </c>
      <c r="I34" s="81">
        <f t="shared" si="0"/>
        <v>13800</v>
      </c>
    </row>
    <row r="35" spans="1:9" ht="15.75" customHeight="1">
      <c r="A35" s="22">
        <v>16</v>
      </c>
      <c r="B35" s="39" t="s">
        <v>68</v>
      </c>
      <c r="C35" s="23" t="s">
        <v>69</v>
      </c>
      <c r="D35" s="55">
        <v>998391</v>
      </c>
      <c r="E35" s="69" t="s">
        <v>45</v>
      </c>
      <c r="F35" s="70" t="s">
        <v>98</v>
      </c>
      <c r="G35" s="70">
        <v>400</v>
      </c>
      <c r="H35" s="70">
        <v>6</v>
      </c>
      <c r="I35" s="81">
        <f t="shared" si="0"/>
        <v>2400</v>
      </c>
    </row>
    <row r="36" spans="1:9" ht="15.75" customHeight="1">
      <c r="A36" s="22">
        <v>17</v>
      </c>
      <c r="B36" s="39" t="s">
        <v>70</v>
      </c>
      <c r="C36" s="23" t="s">
        <v>71</v>
      </c>
      <c r="D36" s="55">
        <v>998391</v>
      </c>
      <c r="E36" s="69" t="s">
        <v>72</v>
      </c>
      <c r="F36" s="70" t="s">
        <v>98</v>
      </c>
      <c r="G36" s="70">
        <v>150</v>
      </c>
      <c r="H36" s="70">
        <v>6</v>
      </c>
      <c r="I36" s="81">
        <f t="shared" si="0"/>
        <v>900</v>
      </c>
    </row>
    <row r="37" spans="1:9" ht="15.75" customHeight="1">
      <c r="A37" s="22">
        <v>18</v>
      </c>
      <c r="B37" s="39" t="s">
        <v>73</v>
      </c>
      <c r="C37" s="23" t="s">
        <v>74</v>
      </c>
      <c r="D37" s="55">
        <v>998391</v>
      </c>
      <c r="E37" s="69" t="s">
        <v>72</v>
      </c>
      <c r="F37" s="70" t="s">
        <v>98</v>
      </c>
      <c r="G37" s="70">
        <v>100</v>
      </c>
      <c r="H37" s="70">
        <v>6</v>
      </c>
      <c r="I37" s="81">
        <f t="shared" si="0"/>
        <v>600</v>
      </c>
    </row>
    <row r="38" spans="1:9" ht="79.8" customHeight="1">
      <c r="A38" s="22">
        <v>19</v>
      </c>
      <c r="B38" s="39" t="s">
        <v>75</v>
      </c>
      <c r="C38" s="23" t="s">
        <v>105</v>
      </c>
      <c r="D38" s="55">
        <v>998391</v>
      </c>
      <c r="E38" s="69" t="s">
        <v>99</v>
      </c>
      <c r="F38" s="70" t="s">
        <v>98</v>
      </c>
      <c r="G38" s="70">
        <v>1800</v>
      </c>
      <c r="H38" s="70">
        <v>3</v>
      </c>
      <c r="I38" s="81">
        <f t="shared" si="0"/>
        <v>5400</v>
      </c>
    </row>
    <row r="39" spans="1:9" ht="63" customHeight="1" thickBot="1">
      <c r="A39" s="22">
        <v>20</v>
      </c>
      <c r="B39" s="39" t="s">
        <v>76</v>
      </c>
      <c r="C39" s="23" t="s">
        <v>109</v>
      </c>
      <c r="D39" s="55">
        <v>998391</v>
      </c>
      <c r="E39" s="69" t="s">
        <v>100</v>
      </c>
      <c r="F39" s="70" t="s">
        <v>98</v>
      </c>
      <c r="G39" s="70">
        <v>7000</v>
      </c>
      <c r="H39" s="70">
        <v>1</v>
      </c>
      <c r="I39" s="81">
        <f t="shared" si="0"/>
        <v>7000</v>
      </c>
    </row>
    <row r="40" spans="1:9" ht="28.8" customHeight="1" thickBot="1">
      <c r="A40" s="22">
        <v>21</v>
      </c>
      <c r="B40" s="39" t="s">
        <v>113</v>
      </c>
      <c r="C40" s="23" t="s">
        <v>77</v>
      </c>
      <c r="D40" s="55">
        <v>998391</v>
      </c>
      <c r="E40" s="71" t="s">
        <v>93</v>
      </c>
      <c r="F40" s="70" t="s">
        <v>98</v>
      </c>
      <c r="G40" s="74">
        <v>3000</v>
      </c>
      <c r="H40" s="70">
        <v>1</v>
      </c>
      <c r="I40" s="81">
        <f t="shared" si="0"/>
        <v>3000</v>
      </c>
    </row>
    <row r="41" spans="1:9" ht="27" customHeight="1" thickBot="1">
      <c r="A41" s="22">
        <v>22</v>
      </c>
      <c r="B41" s="47" t="s">
        <v>114</v>
      </c>
      <c r="C41" s="34" t="s">
        <v>115</v>
      </c>
      <c r="D41" s="55">
        <v>998391</v>
      </c>
      <c r="E41" s="71" t="s">
        <v>101</v>
      </c>
      <c r="F41" s="74" t="s">
        <v>98</v>
      </c>
      <c r="G41" s="70">
        <v>300</v>
      </c>
      <c r="H41" s="70">
        <v>3</v>
      </c>
      <c r="I41" s="81">
        <f t="shared" si="0"/>
        <v>900</v>
      </c>
    </row>
    <row r="42" spans="1:9" ht="60" customHeight="1" thickBot="1">
      <c r="A42" s="22"/>
      <c r="B42" s="90" t="s">
        <v>116</v>
      </c>
      <c r="C42" s="34"/>
      <c r="D42" s="55"/>
      <c r="E42" s="71"/>
      <c r="F42" s="74"/>
      <c r="G42" s="70"/>
      <c r="H42" s="70"/>
      <c r="I42" s="81"/>
    </row>
    <row r="43" spans="1:9" ht="20.399999999999999" customHeight="1" thickBot="1">
      <c r="A43" s="22">
        <v>23</v>
      </c>
      <c r="B43" s="89" t="s">
        <v>117</v>
      </c>
      <c r="C43" s="34" t="s">
        <v>94</v>
      </c>
      <c r="D43" s="55">
        <v>998391</v>
      </c>
      <c r="E43" s="71" t="s">
        <v>123</v>
      </c>
      <c r="F43" s="74" t="s">
        <v>98</v>
      </c>
      <c r="G43" s="70">
        <v>85</v>
      </c>
      <c r="H43" s="91">
        <v>3</v>
      </c>
      <c r="I43" s="81">
        <f t="shared" si="0"/>
        <v>255</v>
      </c>
    </row>
    <row r="44" spans="1:9" ht="23.4" customHeight="1" thickBot="1">
      <c r="A44" s="22">
        <v>24</v>
      </c>
      <c r="B44" s="89" t="s">
        <v>118</v>
      </c>
      <c r="C44" s="34" t="s">
        <v>94</v>
      </c>
      <c r="D44" s="55">
        <v>998391</v>
      </c>
      <c r="E44" s="71" t="s">
        <v>123</v>
      </c>
      <c r="F44" s="74" t="s">
        <v>98</v>
      </c>
      <c r="G44" s="70">
        <v>115</v>
      </c>
      <c r="H44" s="91">
        <v>5</v>
      </c>
      <c r="I44" s="81">
        <f t="shared" si="0"/>
        <v>575</v>
      </c>
    </row>
    <row r="45" spans="1:9" s="87" customFormat="1" ht="24.6" customHeight="1" thickBot="1">
      <c r="A45" s="22">
        <v>25</v>
      </c>
      <c r="B45" s="89" t="s">
        <v>119</v>
      </c>
      <c r="C45" s="34" t="s">
        <v>126</v>
      </c>
      <c r="D45" s="55">
        <v>998391</v>
      </c>
      <c r="E45" s="71" t="s">
        <v>124</v>
      </c>
      <c r="F45" s="74" t="s">
        <v>98</v>
      </c>
      <c r="G45" s="70">
        <v>75</v>
      </c>
      <c r="H45" s="91">
        <v>26</v>
      </c>
      <c r="I45" s="81">
        <f t="shared" si="0"/>
        <v>1950</v>
      </c>
    </row>
    <row r="46" spans="1:9" ht="34.200000000000003" thickBot="1">
      <c r="A46" s="22">
        <v>26</v>
      </c>
      <c r="B46" s="89" t="s">
        <v>120</v>
      </c>
      <c r="C46" s="34" t="s">
        <v>126</v>
      </c>
      <c r="D46" s="55">
        <v>998391</v>
      </c>
      <c r="E46" s="86" t="s">
        <v>123</v>
      </c>
      <c r="F46" s="74" t="s">
        <v>98</v>
      </c>
      <c r="G46" s="70">
        <v>167</v>
      </c>
      <c r="H46" s="91">
        <v>11</v>
      </c>
      <c r="I46" s="81">
        <f t="shared" si="0"/>
        <v>1837</v>
      </c>
    </row>
    <row r="47" spans="1:9" s="87" customFormat="1" ht="54.6" thickBot="1">
      <c r="A47" s="22">
        <v>27</v>
      </c>
      <c r="B47" s="89" t="s">
        <v>121</v>
      </c>
      <c r="C47" s="34" t="s">
        <v>126</v>
      </c>
      <c r="D47" s="55">
        <v>998391</v>
      </c>
      <c r="E47" s="86" t="s">
        <v>123</v>
      </c>
      <c r="F47" s="74" t="s">
        <v>98</v>
      </c>
      <c r="G47" s="70">
        <v>125</v>
      </c>
      <c r="H47" s="153">
        <v>1</v>
      </c>
      <c r="I47" s="81">
        <f t="shared" si="0"/>
        <v>125</v>
      </c>
    </row>
    <row r="48" spans="1:9" s="36" customFormat="1" ht="54.6" thickBot="1">
      <c r="A48" s="22">
        <v>28</v>
      </c>
      <c r="B48" s="89" t="s">
        <v>122</v>
      </c>
      <c r="C48" s="34" t="s">
        <v>126</v>
      </c>
      <c r="D48" s="55">
        <v>998391</v>
      </c>
      <c r="E48" s="86" t="s">
        <v>123</v>
      </c>
      <c r="F48" s="74" t="s">
        <v>98</v>
      </c>
      <c r="G48" s="70">
        <v>85</v>
      </c>
      <c r="H48" s="153">
        <v>7</v>
      </c>
      <c r="I48" s="81">
        <f t="shared" si="0"/>
        <v>595</v>
      </c>
    </row>
    <row r="49" spans="1:11" s="88" customFormat="1" ht="31.8" customHeight="1" thickBot="1">
      <c r="A49" s="22">
        <v>29</v>
      </c>
      <c r="B49" s="89" t="s">
        <v>127</v>
      </c>
      <c r="C49" s="34" t="s">
        <v>128</v>
      </c>
      <c r="D49" s="55">
        <v>998391</v>
      </c>
      <c r="E49" s="86" t="s">
        <v>104</v>
      </c>
      <c r="F49" s="74" t="s">
        <v>129</v>
      </c>
      <c r="G49" s="70">
        <v>30</v>
      </c>
      <c r="H49" s="91">
        <v>25</v>
      </c>
      <c r="I49" s="81">
        <f>G49*H49</f>
        <v>750</v>
      </c>
    </row>
    <row r="50" spans="1:11" ht="60.6" customHeight="1" thickBot="1">
      <c r="A50" s="22">
        <v>30</v>
      </c>
      <c r="B50" s="89" t="s">
        <v>125</v>
      </c>
      <c r="C50" s="83" t="s">
        <v>126</v>
      </c>
      <c r="D50" s="55">
        <v>998391</v>
      </c>
      <c r="E50" s="83" t="s">
        <v>123</v>
      </c>
      <c r="F50" s="70" t="s">
        <v>46</v>
      </c>
      <c r="G50" s="70">
        <v>60</v>
      </c>
      <c r="H50" s="153">
        <v>3</v>
      </c>
      <c r="I50" s="81">
        <f>H50*G50</f>
        <v>180</v>
      </c>
    </row>
    <row r="51" spans="1:11" ht="15.75" customHeight="1">
      <c r="A51" s="24"/>
      <c r="B51" s="48"/>
      <c r="C51" s="25"/>
      <c r="D51" s="56"/>
      <c r="E51" s="130" t="s">
        <v>78</v>
      </c>
      <c r="F51" s="131"/>
      <c r="G51" s="131"/>
      <c r="H51" s="132"/>
      <c r="I51" s="82"/>
    </row>
    <row r="52" spans="1:11" ht="15.75" customHeight="1">
      <c r="A52" s="24"/>
      <c r="B52" s="48"/>
      <c r="C52" s="25"/>
      <c r="D52" s="56"/>
      <c r="E52" s="72"/>
      <c r="F52" s="130" t="s">
        <v>79</v>
      </c>
      <c r="G52" s="131"/>
      <c r="H52" s="132"/>
      <c r="I52" s="154">
        <f>SUM(I20:I50)</f>
        <v>156904.65</v>
      </c>
    </row>
    <row r="53" spans="1:11" ht="15.75" customHeight="1">
      <c r="A53" s="24"/>
      <c r="B53" s="48"/>
      <c r="C53" s="25"/>
      <c r="D53" s="56"/>
      <c r="E53" s="72"/>
      <c r="F53" s="137" t="s">
        <v>80</v>
      </c>
      <c r="G53" s="131"/>
      <c r="H53" s="132"/>
      <c r="I53" s="84">
        <f>I52*18%</f>
        <v>28242.837</v>
      </c>
    </row>
    <row r="54" spans="1:11" ht="15.75" customHeight="1">
      <c r="A54" s="24"/>
      <c r="B54" s="48"/>
      <c r="C54" s="25"/>
      <c r="D54" s="56"/>
      <c r="E54" s="72"/>
      <c r="F54" s="130"/>
      <c r="G54" s="131"/>
      <c r="H54" s="132"/>
      <c r="I54" s="81"/>
    </row>
    <row r="55" spans="1:11" ht="15.75" customHeight="1">
      <c r="A55" s="24"/>
      <c r="B55" s="48"/>
      <c r="C55" s="25"/>
      <c r="D55" s="56"/>
      <c r="E55" s="72"/>
      <c r="F55" s="130" t="s">
        <v>81</v>
      </c>
      <c r="G55" s="131"/>
      <c r="H55" s="132"/>
      <c r="I55" s="84">
        <f>I53+I54</f>
        <v>28242.837</v>
      </c>
    </row>
    <row r="56" spans="1:11" ht="15.75" customHeight="1">
      <c r="A56" s="24"/>
      <c r="B56" s="48"/>
      <c r="C56" s="25"/>
      <c r="D56" s="56"/>
      <c r="E56" s="72"/>
      <c r="F56" s="130" t="s">
        <v>82</v>
      </c>
      <c r="G56" s="131"/>
      <c r="H56" s="132"/>
      <c r="I56" s="85">
        <f>I52+I55</f>
        <v>185147.48699999999</v>
      </c>
    </row>
    <row r="57" spans="1:11" ht="15.75" customHeight="1">
      <c r="A57" s="26"/>
      <c r="B57" s="138" t="s">
        <v>130</v>
      </c>
      <c r="C57" s="139"/>
      <c r="D57" s="139"/>
      <c r="E57" s="139"/>
      <c r="F57" s="139"/>
      <c r="G57" s="139"/>
      <c r="H57" s="139"/>
      <c r="I57" s="140"/>
    </row>
    <row r="58" spans="1:11" ht="15.75" customHeight="1">
      <c r="A58" s="26"/>
      <c r="B58" s="141"/>
      <c r="C58" s="142"/>
      <c r="D58" s="142"/>
      <c r="E58" s="142"/>
      <c r="F58" s="142"/>
      <c r="G58" s="142"/>
      <c r="H58" s="142"/>
      <c r="I58" s="106"/>
    </row>
    <row r="59" spans="1:11" ht="15.75" customHeight="1">
      <c r="A59" s="27"/>
      <c r="B59" s="133" t="s">
        <v>83</v>
      </c>
      <c r="C59" s="106"/>
      <c r="D59" s="57"/>
      <c r="E59" s="134"/>
      <c r="F59" s="96"/>
      <c r="G59" s="147" t="s">
        <v>84</v>
      </c>
      <c r="H59" s="95"/>
      <c r="I59" s="96"/>
      <c r="J59" s="28"/>
      <c r="K59" s="28"/>
    </row>
    <row r="60" spans="1:11" ht="15.75" customHeight="1">
      <c r="A60" s="29"/>
      <c r="B60" s="136" t="s">
        <v>85</v>
      </c>
      <c r="C60" s="99"/>
      <c r="D60" s="58"/>
      <c r="E60" s="135"/>
      <c r="F60" s="99"/>
      <c r="G60" s="148" t="s">
        <v>86</v>
      </c>
      <c r="H60" s="149"/>
      <c r="I60" s="150"/>
      <c r="J60" s="30"/>
      <c r="K60" s="30"/>
    </row>
    <row r="61" spans="1:11" ht="15.75" customHeight="1">
      <c r="A61" s="29"/>
      <c r="B61" s="136" t="s">
        <v>95</v>
      </c>
      <c r="C61" s="99"/>
      <c r="D61" s="58"/>
      <c r="E61" s="135"/>
      <c r="F61" s="99"/>
      <c r="G61" s="151"/>
      <c r="H61" s="98"/>
      <c r="I61" s="99"/>
    </row>
    <row r="62" spans="1:11" ht="15.75" customHeight="1">
      <c r="A62" s="31"/>
      <c r="B62" s="144" t="s">
        <v>87</v>
      </c>
      <c r="C62" s="99"/>
      <c r="D62" s="58"/>
      <c r="E62" s="135"/>
      <c r="F62" s="99"/>
      <c r="G62" s="135"/>
      <c r="H62" s="98"/>
      <c r="I62" s="99"/>
    </row>
    <row r="63" spans="1:11" ht="15.75" customHeight="1">
      <c r="A63" s="31"/>
      <c r="B63" s="145"/>
      <c r="C63" s="99"/>
      <c r="D63" s="58"/>
      <c r="E63" s="135"/>
      <c r="F63" s="99"/>
      <c r="G63" s="135"/>
      <c r="H63" s="98"/>
      <c r="I63" s="99"/>
    </row>
    <row r="64" spans="1:11" ht="15.75" customHeight="1">
      <c r="A64" s="31"/>
      <c r="B64" s="145"/>
      <c r="C64" s="99"/>
      <c r="D64" s="58"/>
      <c r="E64" s="135"/>
      <c r="F64" s="99"/>
      <c r="G64" s="135"/>
      <c r="H64" s="98"/>
      <c r="I64" s="99"/>
    </row>
    <row r="65" spans="1:11" ht="15.75" customHeight="1">
      <c r="A65" s="31"/>
      <c r="B65" s="145"/>
      <c r="C65" s="99"/>
      <c r="D65" s="58"/>
      <c r="E65" s="135"/>
      <c r="F65" s="99"/>
      <c r="G65" s="135"/>
      <c r="H65" s="98"/>
      <c r="I65" s="99"/>
    </row>
    <row r="66" spans="1:11" ht="15.75" customHeight="1">
      <c r="A66" s="32"/>
      <c r="B66" s="146"/>
      <c r="C66" s="117"/>
      <c r="D66" s="59"/>
      <c r="E66" s="143" t="s">
        <v>88</v>
      </c>
      <c r="F66" s="106"/>
      <c r="G66" s="152" t="s">
        <v>89</v>
      </c>
      <c r="H66" s="142"/>
      <c r="I66" s="106"/>
      <c r="J66" s="30"/>
      <c r="K66" s="30"/>
    </row>
    <row r="67" spans="1:11" ht="15.75" customHeight="1">
      <c r="A67" s="33"/>
      <c r="B67" s="49"/>
      <c r="C67" s="33"/>
      <c r="D67" s="49"/>
      <c r="E67" s="49"/>
      <c r="F67" s="49"/>
      <c r="G67" s="49"/>
      <c r="H67" s="49"/>
    </row>
    <row r="68" spans="1:11" ht="15.75" customHeight="1">
      <c r="A68" s="33"/>
      <c r="B68" s="49"/>
      <c r="C68" s="33"/>
      <c r="D68" s="49"/>
      <c r="E68" s="49"/>
      <c r="F68" s="49"/>
      <c r="G68" s="49"/>
      <c r="H68" s="49"/>
    </row>
    <row r="69" spans="1:11" ht="15.75" customHeight="1">
      <c r="A69" s="33"/>
      <c r="B69" s="49"/>
      <c r="C69" s="33"/>
      <c r="D69" s="49"/>
      <c r="E69" s="49"/>
      <c r="F69" s="49"/>
      <c r="G69" s="49"/>
      <c r="H69" s="49"/>
    </row>
    <row r="70" spans="1:11" ht="15.75" customHeight="1">
      <c r="D70" s="60"/>
    </row>
    <row r="71" spans="1:11" ht="15.75" customHeight="1">
      <c r="D71" s="60"/>
    </row>
    <row r="72" spans="1:11" ht="15.75" customHeight="1">
      <c r="D72" s="60"/>
    </row>
    <row r="73" spans="1:11" ht="15.75" customHeight="1">
      <c r="D73" s="60"/>
    </row>
    <row r="74" spans="1:11" ht="15.75" customHeight="1">
      <c r="D74" s="60"/>
    </row>
    <row r="75" spans="1:11" ht="15.75" customHeight="1">
      <c r="D75" s="60"/>
    </row>
    <row r="76" spans="1:11" ht="15.75" customHeight="1">
      <c r="D76" s="60"/>
    </row>
    <row r="77" spans="1:11" ht="15.75" customHeight="1">
      <c r="D77" s="60"/>
    </row>
    <row r="78" spans="1:11" ht="15.75" customHeight="1">
      <c r="D78" s="60"/>
    </row>
    <row r="79" spans="1:11" ht="15.75" customHeight="1">
      <c r="D79" s="60"/>
    </row>
    <row r="80" spans="1:11" ht="15.75" customHeight="1">
      <c r="D80" s="60"/>
    </row>
    <row r="81" spans="4:4" ht="15.75" customHeight="1">
      <c r="D81" s="60"/>
    </row>
    <row r="82" spans="4:4" ht="15.75" customHeight="1">
      <c r="D82" s="60"/>
    </row>
    <row r="83" spans="4:4" ht="15.75" customHeight="1">
      <c r="D83" s="60"/>
    </row>
    <row r="84" spans="4:4" ht="15.75" customHeight="1">
      <c r="D84" s="60"/>
    </row>
    <row r="85" spans="4:4" ht="15.75" customHeight="1">
      <c r="D85" s="60"/>
    </row>
    <row r="86" spans="4:4" ht="15.75" customHeight="1">
      <c r="D86" s="60"/>
    </row>
    <row r="87" spans="4:4" ht="15.75" customHeight="1">
      <c r="D87" s="60"/>
    </row>
    <row r="88" spans="4:4" ht="15.75" customHeight="1">
      <c r="D88" s="60"/>
    </row>
    <row r="89" spans="4:4" ht="15.75" customHeight="1">
      <c r="D89" s="60"/>
    </row>
    <row r="90" spans="4:4" ht="15.75" customHeight="1">
      <c r="D90" s="60"/>
    </row>
    <row r="91" spans="4:4" ht="15.75" customHeight="1">
      <c r="D91" s="60"/>
    </row>
    <row r="92" spans="4:4" ht="15.75" customHeight="1">
      <c r="D92" s="60"/>
    </row>
    <row r="93" spans="4:4" ht="15.75" customHeight="1">
      <c r="D93" s="60"/>
    </row>
    <row r="94" spans="4:4" ht="15.75" customHeight="1">
      <c r="D94" s="60"/>
    </row>
    <row r="95" spans="4:4" ht="15.75" customHeight="1">
      <c r="D95" s="60"/>
    </row>
    <row r="96" spans="4:4" ht="15.75" customHeight="1">
      <c r="D96" s="60"/>
    </row>
    <row r="97" spans="4:4" ht="15.75" customHeight="1">
      <c r="D97" s="60"/>
    </row>
    <row r="98" spans="4:4" ht="15.75" customHeight="1">
      <c r="D98" s="60"/>
    </row>
    <row r="99" spans="4:4" ht="15.75" customHeight="1">
      <c r="D99" s="60"/>
    </row>
    <row r="100" spans="4:4" ht="15.75" customHeight="1">
      <c r="D100" s="60"/>
    </row>
    <row r="101" spans="4:4" ht="15.75" customHeight="1">
      <c r="D101" s="60"/>
    </row>
    <row r="102" spans="4:4" ht="15.75" customHeight="1">
      <c r="D102" s="60"/>
    </row>
    <row r="103" spans="4:4" ht="15.75" customHeight="1">
      <c r="D103" s="60"/>
    </row>
    <row r="104" spans="4:4" ht="15.75" customHeight="1">
      <c r="D104" s="60"/>
    </row>
    <row r="105" spans="4:4" ht="15.75" customHeight="1">
      <c r="D105" s="60"/>
    </row>
    <row r="106" spans="4:4" ht="15.75" customHeight="1">
      <c r="D106" s="60"/>
    </row>
    <row r="107" spans="4:4" ht="15.75" customHeight="1">
      <c r="D107" s="60"/>
    </row>
    <row r="108" spans="4:4" ht="15.75" customHeight="1">
      <c r="D108" s="60"/>
    </row>
    <row r="109" spans="4:4" ht="15.75" customHeight="1">
      <c r="D109" s="60"/>
    </row>
    <row r="110" spans="4:4" ht="15.75" customHeight="1">
      <c r="D110" s="60"/>
    </row>
    <row r="111" spans="4:4" ht="15.75" customHeight="1">
      <c r="D111" s="60"/>
    </row>
    <row r="112" spans="4:4" ht="15.75" customHeight="1">
      <c r="D112" s="60"/>
    </row>
    <row r="113" spans="4:4" ht="15.75" customHeight="1">
      <c r="D113" s="60"/>
    </row>
    <row r="114" spans="4:4" ht="15.75" customHeight="1">
      <c r="D114" s="60"/>
    </row>
    <row r="115" spans="4:4" ht="15.75" customHeight="1">
      <c r="D115" s="60"/>
    </row>
    <row r="116" spans="4:4" ht="15.75" customHeight="1">
      <c r="D116" s="60"/>
    </row>
    <row r="117" spans="4:4" ht="15.75" customHeight="1">
      <c r="D117" s="60"/>
    </row>
    <row r="118" spans="4:4" ht="15.75" customHeight="1">
      <c r="D118" s="60"/>
    </row>
    <row r="119" spans="4:4" ht="15.75" customHeight="1">
      <c r="D119" s="60"/>
    </row>
    <row r="120" spans="4:4" ht="15.75" customHeight="1">
      <c r="D120" s="60"/>
    </row>
    <row r="121" spans="4:4" ht="15.75" customHeight="1">
      <c r="D121" s="60"/>
    </row>
    <row r="122" spans="4:4" ht="15.75" customHeight="1">
      <c r="D122" s="60"/>
    </row>
    <row r="123" spans="4:4" ht="15.75" customHeight="1">
      <c r="D123" s="60"/>
    </row>
    <row r="124" spans="4:4" ht="15.75" customHeight="1">
      <c r="D124" s="60"/>
    </row>
    <row r="125" spans="4:4" ht="15.75" customHeight="1">
      <c r="D125" s="60"/>
    </row>
    <row r="126" spans="4:4" ht="15.75" customHeight="1">
      <c r="D126" s="60"/>
    </row>
    <row r="127" spans="4:4" ht="15.75" customHeight="1">
      <c r="D127" s="60"/>
    </row>
    <row r="128" spans="4:4" ht="15.75" customHeight="1">
      <c r="D128" s="60"/>
    </row>
    <row r="129" spans="4:4" ht="15.75" customHeight="1">
      <c r="D129" s="60"/>
    </row>
    <row r="130" spans="4:4" ht="15.75" customHeight="1">
      <c r="D130" s="60"/>
    </row>
    <row r="131" spans="4:4" ht="15.75" customHeight="1">
      <c r="D131" s="60"/>
    </row>
    <row r="132" spans="4:4" ht="15.75" customHeight="1">
      <c r="D132" s="60"/>
    </row>
    <row r="133" spans="4:4" ht="15.75" customHeight="1">
      <c r="D133" s="60"/>
    </row>
    <row r="134" spans="4:4" ht="15.75" customHeight="1">
      <c r="D134" s="60"/>
    </row>
    <row r="135" spans="4:4" ht="15.75" customHeight="1">
      <c r="D135" s="60"/>
    </row>
    <row r="136" spans="4:4" ht="15.75" customHeight="1">
      <c r="D136" s="60"/>
    </row>
    <row r="137" spans="4:4" ht="15.75" customHeight="1">
      <c r="D137" s="60"/>
    </row>
    <row r="138" spans="4:4" ht="15.75" customHeight="1">
      <c r="D138" s="60"/>
    </row>
    <row r="139" spans="4:4" ht="15.75" customHeight="1">
      <c r="D139" s="60"/>
    </row>
    <row r="140" spans="4:4" ht="15.75" customHeight="1">
      <c r="D140" s="60"/>
    </row>
    <row r="141" spans="4:4" ht="15.75" customHeight="1">
      <c r="D141" s="60"/>
    </row>
    <row r="142" spans="4:4" ht="15.75" customHeight="1">
      <c r="D142" s="60"/>
    </row>
    <row r="143" spans="4:4" ht="15.75" customHeight="1">
      <c r="D143" s="60"/>
    </row>
    <row r="144" spans="4:4" ht="15.75" customHeight="1">
      <c r="D144" s="60"/>
    </row>
    <row r="145" spans="4:4" ht="15.75" customHeight="1">
      <c r="D145" s="60"/>
    </row>
    <row r="146" spans="4:4" ht="15.75" customHeight="1">
      <c r="D146" s="60"/>
    </row>
    <row r="147" spans="4:4" ht="15.75" customHeight="1">
      <c r="D147" s="60"/>
    </row>
    <row r="148" spans="4:4" ht="15.75" customHeight="1">
      <c r="D148" s="60"/>
    </row>
    <row r="149" spans="4:4" ht="15.75" customHeight="1">
      <c r="D149" s="60"/>
    </row>
    <row r="150" spans="4:4" ht="15.75" customHeight="1">
      <c r="D150" s="60"/>
    </row>
    <row r="151" spans="4:4" ht="15.75" customHeight="1">
      <c r="D151" s="60"/>
    </row>
    <row r="152" spans="4:4" ht="15.75" customHeight="1">
      <c r="D152" s="60"/>
    </row>
    <row r="153" spans="4:4" ht="15.75" customHeight="1">
      <c r="D153" s="60"/>
    </row>
    <row r="154" spans="4:4" ht="15.75" customHeight="1">
      <c r="D154" s="60"/>
    </row>
    <row r="155" spans="4:4" ht="15.75" customHeight="1">
      <c r="D155" s="60"/>
    </row>
    <row r="156" spans="4:4" ht="15.75" customHeight="1">
      <c r="D156" s="60"/>
    </row>
    <row r="157" spans="4:4" ht="15.75" customHeight="1">
      <c r="D157" s="60"/>
    </row>
    <row r="158" spans="4:4" ht="15.75" customHeight="1">
      <c r="D158" s="60"/>
    </row>
    <row r="159" spans="4:4" ht="15.75" customHeight="1">
      <c r="D159" s="60"/>
    </row>
    <row r="160" spans="4:4" ht="15.75" customHeight="1">
      <c r="D160" s="60"/>
    </row>
    <row r="161" spans="4:4" ht="15.75" customHeight="1">
      <c r="D161" s="60"/>
    </row>
    <row r="162" spans="4:4" ht="15.75" customHeight="1">
      <c r="D162" s="60"/>
    </row>
    <row r="163" spans="4:4" ht="15.75" customHeight="1">
      <c r="D163" s="60"/>
    </row>
    <row r="164" spans="4:4" ht="15.75" customHeight="1">
      <c r="D164" s="60"/>
    </row>
    <row r="165" spans="4:4" ht="15.75" customHeight="1">
      <c r="D165" s="60"/>
    </row>
    <row r="166" spans="4:4" ht="15.75" customHeight="1">
      <c r="D166" s="60"/>
    </row>
    <row r="167" spans="4:4" ht="15.75" customHeight="1">
      <c r="D167" s="60"/>
    </row>
    <row r="168" spans="4:4" ht="15.75" customHeight="1">
      <c r="D168" s="60"/>
    </row>
    <row r="169" spans="4:4" ht="15.75" customHeight="1">
      <c r="D169" s="60"/>
    </row>
    <row r="170" spans="4:4" ht="15.75" customHeight="1">
      <c r="D170" s="60"/>
    </row>
    <row r="171" spans="4:4" ht="15.75" customHeight="1">
      <c r="D171" s="60"/>
    </row>
    <row r="172" spans="4:4" ht="15.75" customHeight="1">
      <c r="D172" s="60"/>
    </row>
    <row r="173" spans="4:4" ht="15.75" customHeight="1">
      <c r="D173" s="60"/>
    </row>
    <row r="174" spans="4:4" ht="15.75" customHeight="1">
      <c r="D174" s="60"/>
    </row>
    <row r="175" spans="4:4" ht="15.75" customHeight="1">
      <c r="D175" s="60"/>
    </row>
    <row r="176" spans="4:4" ht="15.75" customHeight="1">
      <c r="D176" s="60"/>
    </row>
    <row r="177" spans="4:4" ht="15.75" customHeight="1">
      <c r="D177" s="60"/>
    </row>
    <row r="178" spans="4:4" ht="15.75" customHeight="1">
      <c r="D178" s="60"/>
    </row>
    <row r="179" spans="4:4" ht="15.75" customHeight="1">
      <c r="D179" s="60"/>
    </row>
    <row r="180" spans="4:4" ht="15.75" customHeight="1">
      <c r="D180" s="60"/>
    </row>
    <row r="181" spans="4:4" ht="15.75" customHeight="1">
      <c r="D181" s="60"/>
    </row>
    <row r="182" spans="4:4" ht="15.75" customHeight="1">
      <c r="D182" s="60"/>
    </row>
    <row r="183" spans="4:4" ht="15.75" customHeight="1">
      <c r="D183" s="60"/>
    </row>
    <row r="184" spans="4:4" ht="15.75" customHeight="1">
      <c r="D184" s="60"/>
    </row>
    <row r="185" spans="4:4" ht="15.75" customHeight="1">
      <c r="D185" s="60"/>
    </row>
    <row r="186" spans="4:4" ht="15.75" customHeight="1">
      <c r="D186" s="60"/>
    </row>
    <row r="187" spans="4:4" ht="15.75" customHeight="1">
      <c r="D187" s="60"/>
    </row>
    <row r="188" spans="4:4" ht="15.75" customHeight="1">
      <c r="D188" s="60"/>
    </row>
    <row r="189" spans="4:4" ht="15.75" customHeight="1">
      <c r="D189" s="60"/>
    </row>
    <row r="190" spans="4:4" ht="15.75" customHeight="1">
      <c r="D190" s="60"/>
    </row>
    <row r="191" spans="4:4" ht="15.75" customHeight="1">
      <c r="D191" s="60"/>
    </row>
    <row r="192" spans="4:4" ht="15.75" customHeight="1">
      <c r="D192" s="60"/>
    </row>
    <row r="193" spans="4:4" ht="15.75" customHeight="1">
      <c r="D193" s="60"/>
    </row>
    <row r="194" spans="4:4" ht="15.75" customHeight="1">
      <c r="D194" s="60"/>
    </row>
    <row r="195" spans="4:4" ht="15.75" customHeight="1">
      <c r="D195" s="60"/>
    </row>
    <row r="196" spans="4:4" ht="15.75" customHeight="1">
      <c r="D196" s="60"/>
    </row>
    <row r="197" spans="4:4" ht="15.75" customHeight="1">
      <c r="D197" s="60"/>
    </row>
    <row r="198" spans="4:4" ht="15.75" customHeight="1">
      <c r="D198" s="60"/>
    </row>
    <row r="199" spans="4:4" ht="15.75" customHeight="1">
      <c r="D199" s="60"/>
    </row>
    <row r="200" spans="4:4" ht="15.75" customHeight="1">
      <c r="D200" s="60"/>
    </row>
    <row r="201" spans="4:4" ht="15.75" customHeight="1">
      <c r="D201" s="60"/>
    </row>
    <row r="202" spans="4:4" ht="15.75" customHeight="1">
      <c r="D202" s="60"/>
    </row>
    <row r="203" spans="4:4" ht="15.75" customHeight="1">
      <c r="D203" s="60"/>
    </row>
    <row r="204" spans="4:4" ht="15.75" customHeight="1">
      <c r="D204" s="60"/>
    </row>
    <row r="205" spans="4:4" ht="15.75" customHeight="1">
      <c r="D205" s="60"/>
    </row>
    <row r="206" spans="4:4" ht="15.75" customHeight="1">
      <c r="D206" s="60"/>
    </row>
    <row r="207" spans="4:4" ht="15.75" customHeight="1">
      <c r="D207" s="60"/>
    </row>
    <row r="208" spans="4:4" ht="15.75" customHeight="1">
      <c r="D208" s="60"/>
    </row>
    <row r="209" spans="4:4" ht="15.75" customHeight="1">
      <c r="D209" s="60"/>
    </row>
    <row r="210" spans="4:4" ht="15.75" customHeight="1">
      <c r="D210" s="60"/>
    </row>
    <row r="211" spans="4:4" ht="15.75" customHeight="1">
      <c r="D211" s="60"/>
    </row>
    <row r="212" spans="4:4" ht="15.75" customHeight="1">
      <c r="D212" s="60"/>
    </row>
    <row r="213" spans="4:4" ht="15.75" customHeight="1">
      <c r="D213" s="60"/>
    </row>
    <row r="214" spans="4:4" ht="15.75" customHeight="1">
      <c r="D214" s="60"/>
    </row>
    <row r="215" spans="4:4" ht="15.75" customHeight="1">
      <c r="D215" s="60"/>
    </row>
    <row r="216" spans="4:4" ht="15.75" customHeight="1">
      <c r="D216" s="60"/>
    </row>
    <row r="217" spans="4:4" ht="15.75" customHeight="1">
      <c r="D217" s="60"/>
    </row>
    <row r="218" spans="4:4" ht="15.75" customHeight="1">
      <c r="D218" s="60"/>
    </row>
    <row r="219" spans="4:4" ht="15.75" customHeight="1">
      <c r="D219" s="60"/>
    </row>
    <row r="220" spans="4:4" ht="15.75" customHeight="1">
      <c r="D220" s="60"/>
    </row>
    <row r="221" spans="4:4" ht="15.75" customHeight="1">
      <c r="D221" s="60"/>
    </row>
    <row r="222" spans="4:4" ht="15.75" customHeight="1">
      <c r="D222" s="60"/>
    </row>
    <row r="223" spans="4:4" ht="15.75" customHeight="1">
      <c r="D223" s="60"/>
    </row>
    <row r="224" spans="4:4" ht="15.75" customHeight="1">
      <c r="D224" s="60"/>
    </row>
    <row r="225" spans="4:4" ht="15.75" customHeight="1">
      <c r="D225" s="60"/>
    </row>
    <row r="226" spans="4:4" ht="15.75" customHeight="1">
      <c r="D226" s="60"/>
    </row>
    <row r="227" spans="4:4" ht="15.75" customHeight="1">
      <c r="D227" s="60"/>
    </row>
    <row r="228" spans="4:4" ht="15.75" customHeight="1">
      <c r="D228" s="60"/>
    </row>
    <row r="229" spans="4:4" ht="15.75" customHeight="1">
      <c r="D229" s="60"/>
    </row>
    <row r="230" spans="4:4" ht="15.75" customHeight="1">
      <c r="D230" s="60"/>
    </row>
    <row r="231" spans="4:4" ht="15.75" customHeight="1">
      <c r="D231" s="60"/>
    </row>
    <row r="232" spans="4:4" ht="15.75" customHeight="1">
      <c r="D232" s="60"/>
    </row>
    <row r="233" spans="4:4" ht="15.75" customHeight="1">
      <c r="D233" s="60"/>
    </row>
    <row r="234" spans="4:4" ht="15.75" customHeight="1">
      <c r="D234" s="60"/>
    </row>
    <row r="235" spans="4:4" ht="15.75" customHeight="1">
      <c r="D235" s="60"/>
    </row>
    <row r="236" spans="4:4" ht="15.75" customHeight="1">
      <c r="D236" s="60"/>
    </row>
    <row r="237" spans="4:4" ht="15.75" customHeight="1">
      <c r="D237" s="60"/>
    </row>
    <row r="238" spans="4:4" ht="15.75" customHeight="1">
      <c r="D238" s="60"/>
    </row>
    <row r="239" spans="4:4" ht="15.75" customHeight="1">
      <c r="D239" s="60"/>
    </row>
    <row r="240" spans="4:4" ht="15.75" customHeight="1">
      <c r="D240" s="60"/>
    </row>
    <row r="241" spans="4:4" ht="15.75" customHeight="1">
      <c r="D241" s="60"/>
    </row>
    <row r="242" spans="4:4" ht="15.75" customHeight="1">
      <c r="D242" s="60"/>
    </row>
    <row r="243" spans="4:4" ht="15.75" customHeight="1">
      <c r="D243" s="60"/>
    </row>
    <row r="244" spans="4:4" ht="15.75" customHeight="1">
      <c r="D244" s="60"/>
    </row>
    <row r="245" spans="4:4" ht="15.75" customHeight="1">
      <c r="D245" s="60"/>
    </row>
    <row r="246" spans="4:4" ht="15.75" customHeight="1">
      <c r="D246" s="60"/>
    </row>
    <row r="247" spans="4:4" ht="15.75" customHeight="1">
      <c r="D247" s="60"/>
    </row>
    <row r="248" spans="4:4" ht="15.75" customHeight="1">
      <c r="D248" s="60"/>
    </row>
    <row r="249" spans="4:4" ht="15.75" customHeight="1">
      <c r="D249" s="60"/>
    </row>
    <row r="250" spans="4:4" ht="15.75" customHeight="1">
      <c r="D250" s="60"/>
    </row>
    <row r="251" spans="4:4" ht="15.75" customHeight="1">
      <c r="D251" s="60"/>
    </row>
    <row r="252" spans="4:4" ht="15.75" customHeight="1">
      <c r="D252" s="60"/>
    </row>
    <row r="253" spans="4:4" ht="15.75" customHeight="1">
      <c r="D253" s="60"/>
    </row>
    <row r="254" spans="4:4" ht="15.75" customHeight="1">
      <c r="D254" s="60"/>
    </row>
    <row r="255" spans="4:4" ht="15.75" customHeight="1">
      <c r="D255" s="60"/>
    </row>
    <row r="256" spans="4:4" ht="15.75" customHeight="1">
      <c r="D256" s="60"/>
    </row>
    <row r="257" spans="4:4" ht="15.75" customHeight="1">
      <c r="D257" s="60"/>
    </row>
    <row r="258" spans="4:4" ht="15.75" customHeight="1">
      <c r="D258" s="60"/>
    </row>
    <row r="259" spans="4:4" ht="15.75" customHeight="1">
      <c r="D259" s="60"/>
    </row>
    <row r="260" spans="4:4" ht="15.75" customHeight="1">
      <c r="D260" s="60"/>
    </row>
    <row r="261" spans="4:4" ht="15.75" customHeight="1">
      <c r="D261" s="60"/>
    </row>
    <row r="262" spans="4:4" ht="15.75" customHeight="1">
      <c r="D262" s="60"/>
    </row>
    <row r="263" spans="4:4" ht="15.75" customHeight="1">
      <c r="D263" s="60"/>
    </row>
    <row r="264" spans="4:4" ht="15.75" customHeight="1">
      <c r="D264" s="60"/>
    </row>
    <row r="265" spans="4:4" ht="15.75" customHeight="1">
      <c r="D265" s="60"/>
    </row>
    <row r="266" spans="4:4" ht="15.75" customHeight="1">
      <c r="D266" s="60"/>
    </row>
    <row r="267" spans="4:4" ht="15.75" customHeight="1">
      <c r="D267" s="60"/>
    </row>
    <row r="268" spans="4:4" ht="15.75" customHeight="1">
      <c r="D268" s="60"/>
    </row>
    <row r="269" spans="4:4" ht="15.75" customHeight="1">
      <c r="D269" s="60"/>
    </row>
    <row r="270" spans="4:4" ht="15.75" customHeight="1">
      <c r="D270" s="60"/>
    </row>
    <row r="271" spans="4:4" ht="15.75" customHeight="1">
      <c r="D271" s="60"/>
    </row>
    <row r="272" spans="4:4" ht="15.75" customHeight="1">
      <c r="D272" s="60"/>
    </row>
    <row r="273" spans="4:4" ht="15.75" customHeight="1">
      <c r="D273" s="60"/>
    </row>
    <row r="274" spans="4:4" ht="15.75" customHeight="1">
      <c r="D274" s="60"/>
    </row>
    <row r="275" spans="4:4" ht="15.75" customHeight="1">
      <c r="D275" s="60"/>
    </row>
    <row r="276" spans="4:4" ht="15.75" customHeight="1">
      <c r="D276" s="60"/>
    </row>
    <row r="277" spans="4:4" ht="15.75" customHeight="1">
      <c r="D277" s="60"/>
    </row>
    <row r="278" spans="4:4" ht="15.75" customHeight="1">
      <c r="D278" s="60"/>
    </row>
    <row r="279" spans="4:4" ht="15.75" customHeight="1">
      <c r="D279" s="60"/>
    </row>
    <row r="280" spans="4:4" ht="15.75" customHeight="1">
      <c r="D280" s="60"/>
    </row>
    <row r="281" spans="4:4" ht="15.75" customHeight="1">
      <c r="D281" s="60"/>
    </row>
    <row r="282" spans="4:4" ht="15.75" customHeight="1">
      <c r="D282" s="60"/>
    </row>
    <row r="283" spans="4:4" ht="15.75" customHeight="1">
      <c r="D283" s="60"/>
    </row>
    <row r="284" spans="4:4" ht="15.75" customHeight="1">
      <c r="D284" s="60"/>
    </row>
    <row r="285" spans="4:4" ht="15.75" customHeight="1">
      <c r="D285" s="60"/>
    </row>
    <row r="286" spans="4:4" ht="15.75" customHeight="1">
      <c r="D286" s="60"/>
    </row>
    <row r="287" spans="4:4" ht="15.75" customHeight="1">
      <c r="D287" s="60"/>
    </row>
    <row r="288" spans="4:4" ht="15.75" customHeight="1">
      <c r="D288" s="60"/>
    </row>
    <row r="289" spans="4:4" ht="15.75" customHeight="1">
      <c r="D289" s="60"/>
    </row>
    <row r="290" spans="4:4" ht="15.75" customHeight="1">
      <c r="D290" s="60"/>
    </row>
    <row r="291" spans="4:4" ht="15.75" customHeight="1">
      <c r="D291" s="60"/>
    </row>
    <row r="292" spans="4:4" ht="15.75" customHeight="1">
      <c r="D292" s="60"/>
    </row>
    <row r="293" spans="4:4" ht="15.75" customHeight="1">
      <c r="D293" s="60"/>
    </row>
    <row r="294" spans="4:4" ht="15.75" customHeight="1">
      <c r="D294" s="60"/>
    </row>
    <row r="295" spans="4:4" ht="15.75" customHeight="1">
      <c r="D295" s="60"/>
    </row>
    <row r="296" spans="4:4" ht="15.75" customHeight="1">
      <c r="D296" s="60"/>
    </row>
    <row r="297" spans="4:4" ht="15.75" customHeight="1">
      <c r="D297" s="60"/>
    </row>
    <row r="298" spans="4:4" ht="15.75" customHeight="1">
      <c r="D298" s="60"/>
    </row>
    <row r="299" spans="4:4" ht="15.75" customHeight="1">
      <c r="D299" s="60"/>
    </row>
    <row r="300" spans="4:4" ht="15.75" customHeight="1">
      <c r="D300" s="60"/>
    </row>
    <row r="301" spans="4:4" ht="15.75" customHeight="1">
      <c r="D301" s="60"/>
    </row>
    <row r="302" spans="4:4" ht="15.75" customHeight="1">
      <c r="D302" s="60"/>
    </row>
    <row r="303" spans="4:4" ht="15.75" customHeight="1">
      <c r="D303" s="60"/>
    </row>
    <row r="304" spans="4:4" ht="15.75" customHeight="1">
      <c r="D304" s="60"/>
    </row>
    <row r="305" spans="4:4" ht="15.75" customHeight="1">
      <c r="D305" s="60"/>
    </row>
    <row r="306" spans="4:4" ht="15.75" customHeight="1">
      <c r="D306" s="60"/>
    </row>
    <row r="307" spans="4:4" ht="15.75" customHeight="1">
      <c r="D307" s="60"/>
    </row>
    <row r="308" spans="4:4" ht="15.75" customHeight="1">
      <c r="D308" s="60"/>
    </row>
    <row r="309" spans="4:4" ht="15.75" customHeight="1">
      <c r="D309" s="60"/>
    </row>
    <row r="310" spans="4:4" ht="15.75" customHeight="1">
      <c r="D310" s="60"/>
    </row>
    <row r="311" spans="4:4" ht="15.75" customHeight="1">
      <c r="D311" s="60"/>
    </row>
    <row r="312" spans="4:4" ht="15.75" customHeight="1">
      <c r="D312" s="60"/>
    </row>
    <row r="313" spans="4:4" ht="15.75" customHeight="1">
      <c r="D313" s="60"/>
    </row>
    <row r="314" spans="4:4" ht="15.75" customHeight="1">
      <c r="D314" s="60"/>
    </row>
    <row r="315" spans="4:4" ht="15.75" customHeight="1">
      <c r="D315" s="60"/>
    </row>
    <row r="316" spans="4:4" ht="15.75" customHeight="1">
      <c r="D316" s="60"/>
    </row>
    <row r="317" spans="4:4" ht="15.75" customHeight="1">
      <c r="D317" s="60"/>
    </row>
    <row r="318" spans="4:4" ht="15.75" customHeight="1">
      <c r="D318" s="60"/>
    </row>
    <row r="319" spans="4:4" ht="15.75" customHeight="1">
      <c r="D319" s="60"/>
    </row>
    <row r="320" spans="4:4" ht="15.75" customHeight="1">
      <c r="D320" s="60"/>
    </row>
    <row r="321" spans="4:4" ht="15.75" customHeight="1">
      <c r="D321" s="60"/>
    </row>
    <row r="322" spans="4:4" ht="15.75" customHeight="1">
      <c r="D322" s="60"/>
    </row>
    <row r="323" spans="4:4" ht="15.75" customHeight="1">
      <c r="D323" s="60"/>
    </row>
    <row r="324" spans="4:4" ht="15.75" customHeight="1">
      <c r="D324" s="60"/>
    </row>
    <row r="325" spans="4:4" ht="15.75" customHeight="1">
      <c r="D325" s="60"/>
    </row>
    <row r="326" spans="4:4" ht="15.75" customHeight="1">
      <c r="D326" s="60"/>
    </row>
    <row r="327" spans="4:4" ht="15.75" customHeight="1">
      <c r="D327" s="60"/>
    </row>
    <row r="328" spans="4:4" ht="15.75" customHeight="1">
      <c r="D328" s="60"/>
    </row>
    <row r="329" spans="4:4" ht="15.75" customHeight="1">
      <c r="D329" s="60"/>
    </row>
    <row r="330" spans="4:4" ht="15.75" customHeight="1">
      <c r="D330" s="60"/>
    </row>
    <row r="331" spans="4:4" ht="15.75" customHeight="1">
      <c r="D331" s="60"/>
    </row>
    <row r="332" spans="4:4" ht="15.75" customHeight="1">
      <c r="D332" s="60"/>
    </row>
    <row r="333" spans="4:4" ht="15.75" customHeight="1">
      <c r="D333" s="60"/>
    </row>
    <row r="334" spans="4:4" ht="15.75" customHeight="1">
      <c r="D334" s="60"/>
    </row>
    <row r="335" spans="4:4" ht="15.75" customHeight="1">
      <c r="D335" s="60"/>
    </row>
    <row r="336" spans="4:4" ht="15.75" customHeight="1">
      <c r="D336" s="60"/>
    </row>
    <row r="337" spans="4:4" ht="15.75" customHeight="1">
      <c r="D337" s="60"/>
    </row>
    <row r="338" spans="4:4" ht="15.75" customHeight="1">
      <c r="D338" s="60"/>
    </row>
    <row r="339" spans="4:4" ht="15.75" customHeight="1">
      <c r="D339" s="60"/>
    </row>
    <row r="340" spans="4:4" ht="15.75" customHeight="1">
      <c r="D340" s="60"/>
    </row>
    <row r="341" spans="4:4" ht="15.75" customHeight="1">
      <c r="D341" s="60"/>
    </row>
    <row r="342" spans="4:4" ht="15.75" customHeight="1">
      <c r="D342" s="60"/>
    </row>
    <row r="343" spans="4:4" ht="15.75" customHeight="1">
      <c r="D343" s="60"/>
    </row>
    <row r="344" spans="4:4" ht="15.75" customHeight="1">
      <c r="D344" s="60"/>
    </row>
    <row r="345" spans="4:4" ht="15.75" customHeight="1">
      <c r="D345" s="60"/>
    </row>
    <row r="346" spans="4:4" ht="15.75" customHeight="1">
      <c r="D346" s="60"/>
    </row>
    <row r="347" spans="4:4" ht="15.75" customHeight="1">
      <c r="D347" s="60"/>
    </row>
    <row r="348" spans="4:4" ht="15.75" customHeight="1">
      <c r="D348" s="60"/>
    </row>
    <row r="349" spans="4:4" ht="15.75" customHeight="1">
      <c r="D349" s="60"/>
    </row>
    <row r="350" spans="4:4" ht="15.75" customHeight="1">
      <c r="D350" s="60"/>
    </row>
    <row r="351" spans="4:4" ht="15.75" customHeight="1">
      <c r="D351" s="60"/>
    </row>
    <row r="352" spans="4:4" ht="15.75" customHeight="1">
      <c r="D352" s="60"/>
    </row>
    <row r="353" spans="4:4" ht="15.75" customHeight="1">
      <c r="D353" s="60"/>
    </row>
    <row r="354" spans="4:4" ht="15.75" customHeight="1">
      <c r="D354" s="60"/>
    </row>
    <row r="355" spans="4:4" ht="15.75" customHeight="1">
      <c r="D355" s="60"/>
    </row>
    <row r="356" spans="4:4" ht="15.75" customHeight="1">
      <c r="D356" s="60"/>
    </row>
    <row r="357" spans="4:4" ht="15.75" customHeight="1">
      <c r="D357" s="60"/>
    </row>
    <row r="358" spans="4:4" ht="15.75" customHeight="1">
      <c r="D358" s="60"/>
    </row>
    <row r="359" spans="4:4" ht="15.75" customHeight="1">
      <c r="D359" s="60"/>
    </row>
    <row r="360" spans="4:4" ht="15.75" customHeight="1">
      <c r="D360" s="60"/>
    </row>
    <row r="361" spans="4:4" ht="15.75" customHeight="1">
      <c r="D361" s="60"/>
    </row>
    <row r="362" spans="4:4" ht="15.75" customHeight="1">
      <c r="D362" s="60"/>
    </row>
    <row r="363" spans="4:4" ht="15.75" customHeight="1">
      <c r="D363" s="60"/>
    </row>
    <row r="364" spans="4:4" ht="15.75" customHeight="1">
      <c r="D364" s="60"/>
    </row>
    <row r="365" spans="4:4" ht="15.75" customHeight="1">
      <c r="D365" s="60"/>
    </row>
    <row r="366" spans="4:4" ht="15.75" customHeight="1">
      <c r="D366" s="60"/>
    </row>
    <row r="367" spans="4:4" ht="15.75" customHeight="1">
      <c r="D367" s="60"/>
    </row>
    <row r="368" spans="4:4" ht="15.75" customHeight="1">
      <c r="D368" s="60"/>
    </row>
    <row r="369" spans="4:4" ht="15.75" customHeight="1">
      <c r="D369" s="60"/>
    </row>
    <row r="370" spans="4:4" ht="15.75" customHeight="1">
      <c r="D370" s="60"/>
    </row>
    <row r="371" spans="4:4" ht="15.75" customHeight="1">
      <c r="D371" s="60"/>
    </row>
    <row r="372" spans="4:4" ht="15.75" customHeight="1">
      <c r="D372" s="60"/>
    </row>
    <row r="373" spans="4:4" ht="15.75" customHeight="1">
      <c r="D373" s="60"/>
    </row>
    <row r="374" spans="4:4" ht="15.75" customHeight="1">
      <c r="D374" s="60"/>
    </row>
    <row r="375" spans="4:4" ht="15.75" customHeight="1">
      <c r="D375" s="60"/>
    </row>
    <row r="376" spans="4:4" ht="15.75" customHeight="1">
      <c r="D376" s="60"/>
    </row>
    <row r="377" spans="4:4" ht="15.75" customHeight="1">
      <c r="D377" s="60"/>
    </row>
    <row r="378" spans="4:4" ht="15.75" customHeight="1">
      <c r="D378" s="60"/>
    </row>
    <row r="379" spans="4:4" ht="15.75" customHeight="1">
      <c r="D379" s="60"/>
    </row>
    <row r="380" spans="4:4" ht="15.75" customHeight="1">
      <c r="D380" s="60"/>
    </row>
    <row r="381" spans="4:4" ht="15.75" customHeight="1">
      <c r="D381" s="60"/>
    </row>
    <row r="382" spans="4:4" ht="15.75" customHeight="1">
      <c r="D382" s="60"/>
    </row>
    <row r="383" spans="4:4" ht="15.75" customHeight="1">
      <c r="D383" s="60"/>
    </row>
    <row r="384" spans="4:4" ht="15.75" customHeight="1">
      <c r="D384" s="60"/>
    </row>
    <row r="385" spans="4:4" ht="15.75" customHeight="1">
      <c r="D385" s="60"/>
    </row>
    <row r="386" spans="4:4" ht="15.75" customHeight="1">
      <c r="D386" s="60"/>
    </row>
    <row r="387" spans="4:4" ht="15.75" customHeight="1">
      <c r="D387" s="60"/>
    </row>
    <row r="388" spans="4:4" ht="15.75" customHeight="1">
      <c r="D388" s="60"/>
    </row>
    <row r="389" spans="4:4" ht="15.75" customHeight="1">
      <c r="D389" s="60"/>
    </row>
    <row r="390" spans="4:4" ht="15.75" customHeight="1">
      <c r="D390" s="60"/>
    </row>
    <row r="391" spans="4:4" ht="15.75" customHeight="1">
      <c r="D391" s="60"/>
    </row>
    <row r="392" spans="4:4" ht="15.75" customHeight="1">
      <c r="D392" s="60"/>
    </row>
    <row r="393" spans="4:4" ht="15.75" customHeight="1">
      <c r="D393" s="60"/>
    </row>
    <row r="394" spans="4:4" ht="15.75" customHeight="1">
      <c r="D394" s="60"/>
    </row>
    <row r="395" spans="4:4" ht="15.75" customHeight="1">
      <c r="D395" s="60"/>
    </row>
    <row r="396" spans="4:4" ht="15.75" customHeight="1">
      <c r="D396" s="60"/>
    </row>
    <row r="397" spans="4:4" ht="15.75" customHeight="1">
      <c r="D397" s="60"/>
    </row>
    <row r="398" spans="4:4" ht="15.75" customHeight="1">
      <c r="D398" s="60"/>
    </row>
    <row r="399" spans="4:4" ht="15.75" customHeight="1">
      <c r="D399" s="60"/>
    </row>
    <row r="400" spans="4:4" ht="15.75" customHeight="1">
      <c r="D400" s="60"/>
    </row>
    <row r="401" spans="4:4" ht="15.75" customHeight="1">
      <c r="D401" s="60"/>
    </row>
    <row r="402" spans="4:4" ht="15.75" customHeight="1">
      <c r="D402" s="60"/>
    </row>
    <row r="403" spans="4:4" ht="15.75" customHeight="1">
      <c r="D403" s="60"/>
    </row>
    <row r="404" spans="4:4" ht="15.75" customHeight="1">
      <c r="D404" s="60"/>
    </row>
    <row r="405" spans="4:4" ht="15.75" customHeight="1">
      <c r="D405" s="60"/>
    </row>
    <row r="406" spans="4:4" ht="15.75" customHeight="1">
      <c r="D406" s="60"/>
    </row>
    <row r="407" spans="4:4" ht="15.75" customHeight="1">
      <c r="D407" s="60"/>
    </row>
    <row r="408" spans="4:4" ht="15.75" customHeight="1">
      <c r="D408" s="60"/>
    </row>
    <row r="409" spans="4:4" ht="15.75" customHeight="1">
      <c r="D409" s="60"/>
    </row>
    <row r="410" spans="4:4" ht="15.75" customHeight="1">
      <c r="D410" s="60"/>
    </row>
    <row r="411" spans="4:4" ht="15.75" customHeight="1">
      <c r="D411" s="60"/>
    </row>
    <row r="412" spans="4:4" ht="15.75" customHeight="1">
      <c r="D412" s="60"/>
    </row>
    <row r="413" spans="4:4" ht="15.75" customHeight="1">
      <c r="D413" s="60"/>
    </row>
    <row r="414" spans="4:4" ht="15.75" customHeight="1">
      <c r="D414" s="60"/>
    </row>
    <row r="415" spans="4:4" ht="15.75" customHeight="1">
      <c r="D415" s="60"/>
    </row>
    <row r="416" spans="4:4" ht="15.75" customHeight="1">
      <c r="D416" s="60"/>
    </row>
    <row r="417" spans="4:4" ht="15.75" customHeight="1">
      <c r="D417" s="60"/>
    </row>
    <row r="418" spans="4:4" ht="15.75" customHeight="1">
      <c r="D418" s="60"/>
    </row>
    <row r="419" spans="4:4" ht="15.75" customHeight="1">
      <c r="D419" s="60"/>
    </row>
    <row r="420" spans="4:4" ht="15.75" customHeight="1">
      <c r="D420" s="60"/>
    </row>
    <row r="421" spans="4:4" ht="15.75" customHeight="1">
      <c r="D421" s="60"/>
    </row>
    <row r="422" spans="4:4" ht="15.75" customHeight="1">
      <c r="D422" s="60"/>
    </row>
    <row r="423" spans="4:4" ht="15.75" customHeight="1">
      <c r="D423" s="60"/>
    </row>
    <row r="424" spans="4:4" ht="15.75" customHeight="1">
      <c r="D424" s="60"/>
    </row>
    <row r="425" spans="4:4" ht="15.75" customHeight="1">
      <c r="D425" s="60"/>
    </row>
    <row r="426" spans="4:4" ht="15.75" customHeight="1">
      <c r="D426" s="60"/>
    </row>
    <row r="427" spans="4:4" ht="15.75" customHeight="1">
      <c r="D427" s="60"/>
    </row>
    <row r="428" spans="4:4" ht="15.75" customHeight="1">
      <c r="D428" s="60"/>
    </row>
    <row r="429" spans="4:4" ht="15.75" customHeight="1">
      <c r="D429" s="60"/>
    </row>
    <row r="430" spans="4:4" ht="15.75" customHeight="1">
      <c r="D430" s="60"/>
    </row>
    <row r="431" spans="4:4" ht="15.75" customHeight="1">
      <c r="D431" s="60"/>
    </row>
    <row r="432" spans="4:4" ht="15.75" customHeight="1">
      <c r="D432" s="60"/>
    </row>
    <row r="433" spans="4:4" ht="15.75" customHeight="1">
      <c r="D433" s="60"/>
    </row>
    <row r="434" spans="4:4" ht="15.75" customHeight="1">
      <c r="D434" s="60"/>
    </row>
    <row r="435" spans="4:4" ht="15.75" customHeight="1">
      <c r="D435" s="60"/>
    </row>
    <row r="436" spans="4:4" ht="15.75" customHeight="1">
      <c r="D436" s="60"/>
    </row>
    <row r="437" spans="4:4" ht="15.75" customHeight="1">
      <c r="D437" s="60"/>
    </row>
    <row r="438" spans="4:4" ht="15.75" customHeight="1">
      <c r="D438" s="60"/>
    </row>
    <row r="439" spans="4:4" ht="15.75" customHeight="1">
      <c r="D439" s="60"/>
    </row>
    <row r="440" spans="4:4" ht="15.75" customHeight="1">
      <c r="D440" s="60"/>
    </row>
    <row r="441" spans="4:4" ht="15.75" customHeight="1">
      <c r="D441" s="60"/>
    </row>
    <row r="442" spans="4:4" ht="15.75" customHeight="1">
      <c r="D442" s="60"/>
    </row>
    <row r="443" spans="4:4" ht="15.75" customHeight="1">
      <c r="D443" s="60"/>
    </row>
    <row r="444" spans="4:4" ht="15.75" customHeight="1">
      <c r="D444" s="60"/>
    </row>
    <row r="445" spans="4:4" ht="15.75" customHeight="1">
      <c r="D445" s="60"/>
    </row>
    <row r="446" spans="4:4" ht="15.75" customHeight="1">
      <c r="D446" s="60"/>
    </row>
    <row r="447" spans="4:4" ht="15.75" customHeight="1">
      <c r="D447" s="60"/>
    </row>
    <row r="448" spans="4:4" ht="15.75" customHeight="1">
      <c r="D448" s="60"/>
    </row>
    <row r="449" spans="4:4" ht="15.75" customHeight="1">
      <c r="D449" s="60"/>
    </row>
    <row r="450" spans="4:4" ht="15.75" customHeight="1">
      <c r="D450" s="60"/>
    </row>
    <row r="451" spans="4:4" ht="15.75" customHeight="1">
      <c r="D451" s="60"/>
    </row>
    <row r="452" spans="4:4" ht="15.75" customHeight="1">
      <c r="D452" s="60"/>
    </row>
    <row r="453" spans="4:4" ht="15.75" customHeight="1">
      <c r="D453" s="60"/>
    </row>
    <row r="454" spans="4:4" ht="15.75" customHeight="1">
      <c r="D454" s="60"/>
    </row>
    <row r="455" spans="4:4" ht="15.75" customHeight="1">
      <c r="D455" s="60"/>
    </row>
    <row r="456" spans="4:4" ht="15.75" customHeight="1">
      <c r="D456" s="60"/>
    </row>
    <row r="457" spans="4:4" ht="15.75" customHeight="1">
      <c r="D457" s="60"/>
    </row>
    <row r="458" spans="4:4" ht="15.75" customHeight="1">
      <c r="D458" s="60"/>
    </row>
    <row r="459" spans="4:4" ht="15.75" customHeight="1">
      <c r="D459" s="60"/>
    </row>
    <row r="460" spans="4:4" ht="15.75" customHeight="1">
      <c r="D460" s="60"/>
    </row>
    <row r="461" spans="4:4" ht="15.75" customHeight="1">
      <c r="D461" s="60"/>
    </row>
    <row r="462" spans="4:4" ht="15.75" customHeight="1">
      <c r="D462" s="60"/>
    </row>
    <row r="463" spans="4:4" ht="15.75" customHeight="1">
      <c r="D463" s="60"/>
    </row>
    <row r="464" spans="4:4" ht="15.75" customHeight="1">
      <c r="D464" s="60"/>
    </row>
    <row r="465" spans="4:4" ht="15.75" customHeight="1">
      <c r="D465" s="60"/>
    </row>
    <row r="466" spans="4:4" ht="15.75" customHeight="1">
      <c r="D466" s="60"/>
    </row>
    <row r="467" spans="4:4" ht="15.75" customHeight="1">
      <c r="D467" s="60"/>
    </row>
    <row r="468" spans="4:4" ht="15.75" customHeight="1">
      <c r="D468" s="60"/>
    </row>
    <row r="469" spans="4:4" ht="15.75" customHeight="1">
      <c r="D469" s="60"/>
    </row>
    <row r="470" spans="4:4" ht="15.75" customHeight="1">
      <c r="D470" s="60"/>
    </row>
    <row r="471" spans="4:4" ht="15.75" customHeight="1">
      <c r="D471" s="60"/>
    </row>
    <row r="472" spans="4:4" ht="15.75" customHeight="1">
      <c r="D472" s="60"/>
    </row>
    <row r="473" spans="4:4" ht="15.75" customHeight="1">
      <c r="D473" s="60"/>
    </row>
    <row r="474" spans="4:4" ht="15.75" customHeight="1">
      <c r="D474" s="60"/>
    </row>
    <row r="475" spans="4:4" ht="15.75" customHeight="1">
      <c r="D475" s="60"/>
    </row>
    <row r="476" spans="4:4" ht="15.75" customHeight="1">
      <c r="D476" s="60"/>
    </row>
    <row r="477" spans="4:4" ht="15.75" customHeight="1">
      <c r="D477" s="60"/>
    </row>
    <row r="478" spans="4:4" ht="15.75" customHeight="1">
      <c r="D478" s="60"/>
    </row>
    <row r="479" spans="4:4" ht="15.75" customHeight="1">
      <c r="D479" s="60"/>
    </row>
    <row r="480" spans="4:4" ht="15.75" customHeight="1">
      <c r="D480" s="60"/>
    </row>
    <row r="481" spans="4:4" ht="15.75" customHeight="1">
      <c r="D481" s="60"/>
    </row>
    <row r="482" spans="4:4" ht="15.75" customHeight="1">
      <c r="D482" s="60"/>
    </row>
    <row r="483" spans="4:4" ht="15.75" customHeight="1">
      <c r="D483" s="60"/>
    </row>
    <row r="484" spans="4:4" ht="15.75" customHeight="1">
      <c r="D484" s="60"/>
    </row>
    <row r="485" spans="4:4" ht="15.75" customHeight="1">
      <c r="D485" s="60"/>
    </row>
    <row r="486" spans="4:4" ht="15.75" customHeight="1">
      <c r="D486" s="60"/>
    </row>
    <row r="487" spans="4:4" ht="15.75" customHeight="1">
      <c r="D487" s="60"/>
    </row>
    <row r="488" spans="4:4" ht="15.75" customHeight="1">
      <c r="D488" s="60"/>
    </row>
    <row r="489" spans="4:4" ht="15.75" customHeight="1">
      <c r="D489" s="60"/>
    </row>
    <row r="490" spans="4:4" ht="15.75" customHeight="1">
      <c r="D490" s="60"/>
    </row>
    <row r="491" spans="4:4" ht="15.75" customHeight="1">
      <c r="D491" s="60"/>
    </row>
    <row r="492" spans="4:4" ht="15.75" customHeight="1">
      <c r="D492" s="60"/>
    </row>
    <row r="493" spans="4:4" ht="15.75" customHeight="1">
      <c r="D493" s="60"/>
    </row>
    <row r="494" spans="4:4" ht="15.75" customHeight="1">
      <c r="D494" s="60"/>
    </row>
    <row r="495" spans="4:4" ht="15.75" customHeight="1">
      <c r="D495" s="60"/>
    </row>
    <row r="496" spans="4:4" ht="15.75" customHeight="1">
      <c r="D496" s="60"/>
    </row>
    <row r="497" spans="4:4" ht="15.75" customHeight="1">
      <c r="D497" s="60"/>
    </row>
    <row r="498" spans="4:4" ht="15.75" customHeight="1">
      <c r="D498" s="60"/>
    </row>
    <row r="499" spans="4:4" ht="15.75" customHeight="1">
      <c r="D499" s="60"/>
    </row>
    <row r="500" spans="4:4" ht="15.75" customHeight="1">
      <c r="D500" s="60"/>
    </row>
    <row r="501" spans="4:4" ht="15.75" customHeight="1">
      <c r="D501" s="60"/>
    </row>
    <row r="502" spans="4:4" ht="15.75" customHeight="1">
      <c r="D502" s="60"/>
    </row>
    <row r="503" spans="4:4" ht="15.75" customHeight="1">
      <c r="D503" s="60"/>
    </row>
    <row r="504" spans="4:4" ht="15.75" customHeight="1">
      <c r="D504" s="60"/>
    </row>
    <row r="505" spans="4:4" ht="15.75" customHeight="1">
      <c r="D505" s="60"/>
    </row>
    <row r="506" spans="4:4" ht="15.75" customHeight="1">
      <c r="D506" s="60"/>
    </row>
    <row r="507" spans="4:4" ht="15.75" customHeight="1">
      <c r="D507" s="60"/>
    </row>
    <row r="508" spans="4:4" ht="15.75" customHeight="1">
      <c r="D508" s="60"/>
    </row>
    <row r="509" spans="4:4" ht="15.75" customHeight="1">
      <c r="D509" s="60"/>
    </row>
    <row r="510" spans="4:4" ht="15.75" customHeight="1">
      <c r="D510" s="60"/>
    </row>
    <row r="511" spans="4:4" ht="15.75" customHeight="1">
      <c r="D511" s="60"/>
    </row>
    <row r="512" spans="4:4" ht="15.75" customHeight="1">
      <c r="D512" s="60"/>
    </row>
    <row r="513" spans="4:4" ht="15.75" customHeight="1">
      <c r="D513" s="60"/>
    </row>
    <row r="514" spans="4:4" ht="15.75" customHeight="1">
      <c r="D514" s="60"/>
    </row>
    <row r="515" spans="4:4" ht="15.75" customHeight="1">
      <c r="D515" s="60"/>
    </row>
    <row r="516" spans="4:4" ht="15.75" customHeight="1">
      <c r="D516" s="60"/>
    </row>
    <row r="517" spans="4:4" ht="15.75" customHeight="1">
      <c r="D517" s="60"/>
    </row>
    <row r="518" spans="4:4" ht="15.75" customHeight="1">
      <c r="D518" s="60"/>
    </row>
    <row r="519" spans="4:4" ht="15.75" customHeight="1">
      <c r="D519" s="60"/>
    </row>
    <row r="520" spans="4:4" ht="15.75" customHeight="1">
      <c r="D520" s="60"/>
    </row>
    <row r="521" spans="4:4" ht="15.75" customHeight="1">
      <c r="D521" s="60"/>
    </row>
    <row r="522" spans="4:4" ht="15.75" customHeight="1">
      <c r="D522" s="60"/>
    </row>
    <row r="523" spans="4:4" ht="15.75" customHeight="1">
      <c r="D523" s="60"/>
    </row>
    <row r="524" spans="4:4" ht="15.75" customHeight="1">
      <c r="D524" s="60"/>
    </row>
    <row r="525" spans="4:4" ht="15.75" customHeight="1">
      <c r="D525" s="60"/>
    </row>
    <row r="526" spans="4:4" ht="15.75" customHeight="1">
      <c r="D526" s="60"/>
    </row>
    <row r="527" spans="4:4" ht="15.75" customHeight="1">
      <c r="D527" s="60"/>
    </row>
    <row r="528" spans="4:4" ht="15.75" customHeight="1">
      <c r="D528" s="60"/>
    </row>
    <row r="529" spans="4:4" ht="15.75" customHeight="1">
      <c r="D529" s="60"/>
    </row>
    <row r="530" spans="4:4" ht="15.75" customHeight="1">
      <c r="D530" s="60"/>
    </row>
    <row r="531" spans="4:4" ht="15.75" customHeight="1">
      <c r="D531" s="60"/>
    </row>
    <row r="532" spans="4:4" ht="15.75" customHeight="1">
      <c r="D532" s="60"/>
    </row>
    <row r="533" spans="4:4" ht="15.75" customHeight="1">
      <c r="D533" s="60"/>
    </row>
    <row r="534" spans="4:4" ht="15.75" customHeight="1">
      <c r="D534" s="60"/>
    </row>
    <row r="535" spans="4:4" ht="15.75" customHeight="1">
      <c r="D535" s="60"/>
    </row>
    <row r="536" spans="4:4" ht="15.75" customHeight="1">
      <c r="D536" s="60"/>
    </row>
    <row r="537" spans="4:4" ht="15.75" customHeight="1">
      <c r="D537" s="60"/>
    </row>
    <row r="538" spans="4:4" ht="15.75" customHeight="1">
      <c r="D538" s="60"/>
    </row>
    <row r="539" spans="4:4" ht="15.75" customHeight="1">
      <c r="D539" s="60"/>
    </row>
    <row r="540" spans="4:4" ht="15.75" customHeight="1">
      <c r="D540" s="60"/>
    </row>
    <row r="541" spans="4:4" ht="15.75" customHeight="1">
      <c r="D541" s="60"/>
    </row>
    <row r="542" spans="4:4" ht="15.75" customHeight="1">
      <c r="D542" s="60"/>
    </row>
    <row r="543" spans="4:4" ht="15.75" customHeight="1">
      <c r="D543" s="60"/>
    </row>
    <row r="544" spans="4:4" ht="15.75" customHeight="1">
      <c r="D544" s="60"/>
    </row>
    <row r="545" spans="4:4" ht="15.75" customHeight="1">
      <c r="D545" s="60"/>
    </row>
    <row r="546" spans="4:4" ht="15.75" customHeight="1">
      <c r="D546" s="60"/>
    </row>
    <row r="547" spans="4:4" ht="15.75" customHeight="1">
      <c r="D547" s="60"/>
    </row>
    <row r="548" spans="4:4" ht="15.75" customHeight="1">
      <c r="D548" s="60"/>
    </row>
    <row r="549" spans="4:4" ht="15.75" customHeight="1">
      <c r="D549" s="60"/>
    </row>
    <row r="550" spans="4:4" ht="15.75" customHeight="1">
      <c r="D550" s="60"/>
    </row>
    <row r="551" spans="4:4" ht="15.75" customHeight="1">
      <c r="D551" s="60"/>
    </row>
    <row r="552" spans="4:4" ht="15.75" customHeight="1">
      <c r="D552" s="60"/>
    </row>
    <row r="553" spans="4:4" ht="15.75" customHeight="1">
      <c r="D553" s="60"/>
    </row>
    <row r="554" spans="4:4" ht="15.75" customHeight="1">
      <c r="D554" s="60"/>
    </row>
    <row r="555" spans="4:4" ht="15.75" customHeight="1">
      <c r="D555" s="60"/>
    </row>
    <row r="556" spans="4:4" ht="15.75" customHeight="1">
      <c r="D556" s="60"/>
    </row>
    <row r="557" spans="4:4" ht="15.75" customHeight="1">
      <c r="D557" s="60"/>
    </row>
    <row r="558" spans="4:4" ht="15.75" customHeight="1">
      <c r="D558" s="60"/>
    </row>
    <row r="559" spans="4:4" ht="15.75" customHeight="1">
      <c r="D559" s="60"/>
    </row>
    <row r="560" spans="4:4" ht="15.75" customHeight="1">
      <c r="D560" s="60"/>
    </row>
    <row r="561" spans="4:4" ht="15.75" customHeight="1">
      <c r="D561" s="60"/>
    </row>
    <row r="562" spans="4:4" ht="15.75" customHeight="1">
      <c r="D562" s="60"/>
    </row>
    <row r="563" spans="4:4" ht="15.75" customHeight="1">
      <c r="D563" s="60"/>
    </row>
    <row r="564" spans="4:4" ht="15.75" customHeight="1">
      <c r="D564" s="60"/>
    </row>
    <row r="565" spans="4:4" ht="15.75" customHeight="1">
      <c r="D565" s="60"/>
    </row>
    <row r="566" spans="4:4" ht="15.75" customHeight="1">
      <c r="D566" s="60"/>
    </row>
    <row r="567" spans="4:4" ht="15.75" customHeight="1">
      <c r="D567" s="60"/>
    </row>
    <row r="568" spans="4:4" ht="15.75" customHeight="1">
      <c r="D568" s="60"/>
    </row>
    <row r="569" spans="4:4" ht="15.75" customHeight="1">
      <c r="D569" s="60"/>
    </row>
    <row r="570" spans="4:4" ht="15.75" customHeight="1">
      <c r="D570" s="60"/>
    </row>
    <row r="571" spans="4:4" ht="15.75" customHeight="1">
      <c r="D571" s="60"/>
    </row>
    <row r="572" spans="4:4" ht="15.75" customHeight="1">
      <c r="D572" s="60"/>
    </row>
    <row r="573" spans="4:4" ht="15.75" customHeight="1">
      <c r="D573" s="60"/>
    </row>
    <row r="574" spans="4:4" ht="15.75" customHeight="1">
      <c r="D574" s="60"/>
    </row>
    <row r="575" spans="4:4" ht="15.75" customHeight="1">
      <c r="D575" s="60"/>
    </row>
    <row r="576" spans="4:4" ht="15.75" customHeight="1">
      <c r="D576" s="60"/>
    </row>
    <row r="577" spans="4:4" ht="15.75" customHeight="1">
      <c r="D577" s="60"/>
    </row>
    <row r="578" spans="4:4" ht="15.75" customHeight="1">
      <c r="D578" s="60"/>
    </row>
    <row r="579" spans="4:4" ht="15.75" customHeight="1">
      <c r="D579" s="60"/>
    </row>
    <row r="580" spans="4:4" ht="15.75" customHeight="1">
      <c r="D580" s="60"/>
    </row>
    <row r="581" spans="4:4" ht="15.75" customHeight="1">
      <c r="D581" s="60"/>
    </row>
    <row r="582" spans="4:4" ht="15.75" customHeight="1">
      <c r="D582" s="60"/>
    </row>
    <row r="583" spans="4:4" ht="15.75" customHeight="1">
      <c r="D583" s="60"/>
    </row>
    <row r="584" spans="4:4" ht="15.75" customHeight="1">
      <c r="D584" s="60"/>
    </row>
    <row r="585" spans="4:4" ht="15.75" customHeight="1">
      <c r="D585" s="60"/>
    </row>
    <row r="586" spans="4:4" ht="15.75" customHeight="1">
      <c r="D586" s="60"/>
    </row>
    <row r="587" spans="4:4" ht="15.75" customHeight="1">
      <c r="D587" s="60"/>
    </row>
    <row r="588" spans="4:4" ht="15.75" customHeight="1">
      <c r="D588" s="60"/>
    </row>
    <row r="589" spans="4:4" ht="15.75" customHeight="1">
      <c r="D589" s="60"/>
    </row>
    <row r="590" spans="4:4" ht="15.75" customHeight="1">
      <c r="D590" s="60"/>
    </row>
    <row r="591" spans="4:4" ht="15.75" customHeight="1">
      <c r="D591" s="60"/>
    </row>
    <row r="592" spans="4:4" ht="15.75" customHeight="1">
      <c r="D592" s="60"/>
    </row>
    <row r="593" spans="4:4" ht="15.75" customHeight="1">
      <c r="D593" s="60"/>
    </row>
    <row r="594" spans="4:4" ht="15.75" customHeight="1">
      <c r="D594" s="60"/>
    </row>
    <row r="595" spans="4:4" ht="15.75" customHeight="1">
      <c r="D595" s="60"/>
    </row>
    <row r="596" spans="4:4" ht="15.75" customHeight="1">
      <c r="D596" s="60"/>
    </row>
    <row r="597" spans="4:4" ht="15.75" customHeight="1">
      <c r="D597" s="60"/>
    </row>
    <row r="598" spans="4:4" ht="15.75" customHeight="1">
      <c r="D598" s="60"/>
    </row>
    <row r="599" spans="4:4" ht="15.75" customHeight="1">
      <c r="D599" s="60"/>
    </row>
    <row r="600" spans="4:4" ht="15.75" customHeight="1">
      <c r="D600" s="60"/>
    </row>
    <row r="601" spans="4:4" ht="15.75" customHeight="1">
      <c r="D601" s="60"/>
    </row>
    <row r="602" spans="4:4" ht="15.75" customHeight="1">
      <c r="D602" s="60"/>
    </row>
    <row r="603" spans="4:4" ht="15.75" customHeight="1">
      <c r="D603" s="60"/>
    </row>
    <row r="604" spans="4:4" ht="15.75" customHeight="1">
      <c r="D604" s="60"/>
    </row>
    <row r="605" spans="4:4" ht="15.75" customHeight="1">
      <c r="D605" s="60"/>
    </row>
    <row r="606" spans="4:4" ht="15.75" customHeight="1">
      <c r="D606" s="60"/>
    </row>
    <row r="607" spans="4:4" ht="15.75" customHeight="1">
      <c r="D607" s="60"/>
    </row>
    <row r="608" spans="4:4" ht="15.75" customHeight="1">
      <c r="D608" s="60"/>
    </row>
    <row r="609" spans="4:4" ht="15.75" customHeight="1">
      <c r="D609" s="60"/>
    </row>
    <row r="610" spans="4:4" ht="15.75" customHeight="1">
      <c r="D610" s="60"/>
    </row>
    <row r="611" spans="4:4" ht="15.75" customHeight="1">
      <c r="D611" s="60"/>
    </row>
    <row r="612" spans="4:4" ht="15.75" customHeight="1">
      <c r="D612" s="60"/>
    </row>
    <row r="613" spans="4:4" ht="15.75" customHeight="1">
      <c r="D613" s="60"/>
    </row>
    <row r="614" spans="4:4" ht="15.75" customHeight="1">
      <c r="D614" s="60"/>
    </row>
    <row r="615" spans="4:4" ht="15.75" customHeight="1">
      <c r="D615" s="60"/>
    </row>
    <row r="616" spans="4:4" ht="15.75" customHeight="1">
      <c r="D616" s="60"/>
    </row>
    <row r="617" spans="4:4" ht="15.75" customHeight="1">
      <c r="D617" s="60"/>
    </row>
    <row r="618" spans="4:4" ht="15.75" customHeight="1">
      <c r="D618" s="60"/>
    </row>
    <row r="619" spans="4:4" ht="15.75" customHeight="1">
      <c r="D619" s="60"/>
    </row>
    <row r="620" spans="4:4" ht="15.75" customHeight="1">
      <c r="D620" s="60"/>
    </row>
    <row r="621" spans="4:4" ht="15.75" customHeight="1">
      <c r="D621" s="60"/>
    </row>
    <row r="622" spans="4:4" ht="15.75" customHeight="1">
      <c r="D622" s="60"/>
    </row>
    <row r="623" spans="4:4" ht="15.75" customHeight="1">
      <c r="D623" s="60"/>
    </row>
    <row r="624" spans="4:4" ht="15.75" customHeight="1">
      <c r="D624" s="60"/>
    </row>
    <row r="625" spans="4:4" ht="15.75" customHeight="1">
      <c r="D625" s="60"/>
    </row>
    <row r="626" spans="4:4" ht="15.75" customHeight="1">
      <c r="D626" s="60"/>
    </row>
    <row r="627" spans="4:4" ht="15.75" customHeight="1">
      <c r="D627" s="60"/>
    </row>
    <row r="628" spans="4:4" ht="15.75" customHeight="1">
      <c r="D628" s="60"/>
    </row>
    <row r="629" spans="4:4" ht="15.75" customHeight="1">
      <c r="D629" s="60"/>
    </row>
    <row r="630" spans="4:4" ht="15.75" customHeight="1">
      <c r="D630" s="60"/>
    </row>
    <row r="631" spans="4:4" ht="15.75" customHeight="1">
      <c r="D631" s="60"/>
    </row>
    <row r="632" spans="4:4" ht="15.75" customHeight="1">
      <c r="D632" s="60"/>
    </row>
    <row r="633" spans="4:4" ht="15.75" customHeight="1">
      <c r="D633" s="60"/>
    </row>
    <row r="634" spans="4:4" ht="15.75" customHeight="1">
      <c r="D634" s="60"/>
    </row>
    <row r="635" spans="4:4" ht="15.75" customHeight="1">
      <c r="D635" s="60"/>
    </row>
    <row r="636" spans="4:4" ht="15.75" customHeight="1">
      <c r="D636" s="60"/>
    </row>
    <row r="637" spans="4:4" ht="15.75" customHeight="1">
      <c r="D637" s="60"/>
    </row>
    <row r="638" spans="4:4" ht="15.75" customHeight="1">
      <c r="D638" s="60"/>
    </row>
    <row r="639" spans="4:4" ht="15.75" customHeight="1">
      <c r="D639" s="60"/>
    </row>
    <row r="640" spans="4:4" ht="15.75" customHeight="1">
      <c r="D640" s="60"/>
    </row>
    <row r="641" spans="4:4" ht="15.75" customHeight="1">
      <c r="D641" s="60"/>
    </row>
    <row r="642" spans="4:4" ht="15.75" customHeight="1">
      <c r="D642" s="60"/>
    </row>
    <row r="643" spans="4:4" ht="15.75" customHeight="1">
      <c r="D643" s="60"/>
    </row>
    <row r="644" spans="4:4" ht="15.75" customHeight="1">
      <c r="D644" s="60"/>
    </row>
    <row r="645" spans="4:4" ht="15.75" customHeight="1">
      <c r="D645" s="60"/>
    </row>
    <row r="646" spans="4:4" ht="15.75" customHeight="1">
      <c r="D646" s="60"/>
    </row>
    <row r="647" spans="4:4" ht="15.75" customHeight="1">
      <c r="D647" s="60"/>
    </row>
    <row r="648" spans="4:4" ht="15.75" customHeight="1">
      <c r="D648" s="60"/>
    </row>
    <row r="649" spans="4:4" ht="15.75" customHeight="1">
      <c r="D649" s="60"/>
    </row>
    <row r="650" spans="4:4" ht="15.75" customHeight="1">
      <c r="D650" s="60"/>
    </row>
    <row r="651" spans="4:4" ht="15.75" customHeight="1">
      <c r="D651" s="60"/>
    </row>
    <row r="652" spans="4:4" ht="15.75" customHeight="1">
      <c r="D652" s="60"/>
    </row>
    <row r="653" spans="4:4" ht="15.75" customHeight="1">
      <c r="D653" s="60"/>
    </row>
    <row r="654" spans="4:4" ht="15.75" customHeight="1">
      <c r="D654" s="60"/>
    </row>
    <row r="655" spans="4:4" ht="15.75" customHeight="1">
      <c r="D655" s="60"/>
    </row>
    <row r="656" spans="4:4" ht="15.75" customHeight="1">
      <c r="D656" s="60"/>
    </row>
    <row r="657" spans="4:4" ht="15.75" customHeight="1">
      <c r="D657" s="60"/>
    </row>
    <row r="658" spans="4:4" ht="15.75" customHeight="1">
      <c r="D658" s="60"/>
    </row>
    <row r="659" spans="4:4" ht="15.75" customHeight="1">
      <c r="D659" s="60"/>
    </row>
    <row r="660" spans="4:4" ht="15.75" customHeight="1">
      <c r="D660" s="60"/>
    </row>
    <row r="661" spans="4:4" ht="15.75" customHeight="1">
      <c r="D661" s="60"/>
    </row>
    <row r="662" spans="4:4" ht="15.75" customHeight="1">
      <c r="D662" s="60"/>
    </row>
    <row r="663" spans="4:4" ht="15.75" customHeight="1">
      <c r="D663" s="60"/>
    </row>
    <row r="664" spans="4:4" ht="15.75" customHeight="1">
      <c r="D664" s="60"/>
    </row>
    <row r="665" spans="4:4" ht="15.75" customHeight="1">
      <c r="D665" s="60"/>
    </row>
    <row r="666" spans="4:4" ht="15.75" customHeight="1">
      <c r="D666" s="60"/>
    </row>
    <row r="667" spans="4:4" ht="15.75" customHeight="1">
      <c r="D667" s="60"/>
    </row>
    <row r="668" spans="4:4" ht="15.75" customHeight="1">
      <c r="D668" s="60"/>
    </row>
    <row r="669" spans="4:4" ht="15.75" customHeight="1">
      <c r="D669" s="60"/>
    </row>
    <row r="670" spans="4:4" ht="15.75" customHeight="1">
      <c r="D670" s="60"/>
    </row>
    <row r="671" spans="4:4" ht="15.75" customHeight="1">
      <c r="D671" s="60"/>
    </row>
    <row r="672" spans="4:4" ht="15.75" customHeight="1">
      <c r="D672" s="60"/>
    </row>
    <row r="673" spans="4:4" ht="15.75" customHeight="1">
      <c r="D673" s="60"/>
    </row>
    <row r="674" spans="4:4" ht="15.75" customHeight="1">
      <c r="D674" s="60"/>
    </row>
    <row r="675" spans="4:4" ht="15.75" customHeight="1">
      <c r="D675" s="60"/>
    </row>
    <row r="676" spans="4:4" ht="15.75" customHeight="1">
      <c r="D676" s="60"/>
    </row>
    <row r="677" spans="4:4" ht="15.75" customHeight="1">
      <c r="D677" s="60"/>
    </row>
    <row r="678" spans="4:4" ht="15.75" customHeight="1">
      <c r="D678" s="60"/>
    </row>
    <row r="679" spans="4:4" ht="15.75" customHeight="1">
      <c r="D679" s="60"/>
    </row>
    <row r="680" spans="4:4" ht="15.75" customHeight="1">
      <c r="D680" s="60"/>
    </row>
    <row r="681" spans="4:4" ht="15.75" customHeight="1">
      <c r="D681" s="60"/>
    </row>
    <row r="682" spans="4:4" ht="15.75" customHeight="1">
      <c r="D682" s="60"/>
    </row>
    <row r="683" spans="4:4" ht="15.75" customHeight="1">
      <c r="D683" s="60"/>
    </row>
    <row r="684" spans="4:4" ht="15.75" customHeight="1">
      <c r="D684" s="60"/>
    </row>
    <row r="685" spans="4:4" ht="15.75" customHeight="1">
      <c r="D685" s="60"/>
    </row>
    <row r="686" spans="4:4" ht="15.75" customHeight="1">
      <c r="D686" s="60"/>
    </row>
    <row r="687" spans="4:4" ht="15.75" customHeight="1">
      <c r="D687" s="60"/>
    </row>
    <row r="688" spans="4:4" ht="15.75" customHeight="1">
      <c r="D688" s="60"/>
    </row>
    <row r="689" spans="4:4" ht="15.75" customHeight="1">
      <c r="D689" s="60"/>
    </row>
    <row r="690" spans="4:4" ht="15.75" customHeight="1">
      <c r="D690" s="60"/>
    </row>
    <row r="691" spans="4:4" ht="15.75" customHeight="1">
      <c r="D691" s="60"/>
    </row>
    <row r="692" spans="4:4" ht="15.75" customHeight="1">
      <c r="D692" s="60"/>
    </row>
    <row r="693" spans="4:4" ht="15.75" customHeight="1">
      <c r="D693" s="60"/>
    </row>
    <row r="694" spans="4:4" ht="15.75" customHeight="1">
      <c r="D694" s="60"/>
    </row>
    <row r="695" spans="4:4" ht="15.75" customHeight="1">
      <c r="D695" s="60"/>
    </row>
    <row r="696" spans="4:4" ht="15.75" customHeight="1">
      <c r="D696" s="60"/>
    </row>
    <row r="697" spans="4:4" ht="15.75" customHeight="1">
      <c r="D697" s="60"/>
    </row>
    <row r="698" spans="4:4" ht="15.75" customHeight="1">
      <c r="D698" s="60"/>
    </row>
    <row r="699" spans="4:4" ht="15.75" customHeight="1">
      <c r="D699" s="60"/>
    </row>
    <row r="700" spans="4:4" ht="15.75" customHeight="1">
      <c r="D700" s="60"/>
    </row>
    <row r="701" spans="4:4" ht="15.75" customHeight="1">
      <c r="D701" s="60"/>
    </row>
    <row r="702" spans="4:4" ht="15.75" customHeight="1">
      <c r="D702" s="60"/>
    </row>
    <row r="703" spans="4:4" ht="15.75" customHeight="1">
      <c r="D703" s="60"/>
    </row>
    <row r="704" spans="4:4" ht="15.75" customHeight="1">
      <c r="D704" s="60"/>
    </row>
    <row r="705" spans="4:4" ht="15.75" customHeight="1">
      <c r="D705" s="60"/>
    </row>
    <row r="706" spans="4:4" ht="15.75" customHeight="1">
      <c r="D706" s="60"/>
    </row>
    <row r="707" spans="4:4" ht="15.75" customHeight="1">
      <c r="D707" s="60"/>
    </row>
    <row r="708" spans="4:4" ht="15.75" customHeight="1">
      <c r="D708" s="60"/>
    </row>
    <row r="709" spans="4:4" ht="15.75" customHeight="1">
      <c r="D709" s="60"/>
    </row>
    <row r="710" spans="4:4" ht="15.75" customHeight="1">
      <c r="D710" s="60"/>
    </row>
    <row r="711" spans="4:4" ht="15.75" customHeight="1">
      <c r="D711" s="60"/>
    </row>
    <row r="712" spans="4:4" ht="15.75" customHeight="1">
      <c r="D712" s="60"/>
    </row>
    <row r="713" spans="4:4" ht="15.75" customHeight="1">
      <c r="D713" s="60"/>
    </row>
    <row r="714" spans="4:4" ht="15.75" customHeight="1">
      <c r="D714" s="60"/>
    </row>
    <row r="715" spans="4:4" ht="15.75" customHeight="1">
      <c r="D715" s="60"/>
    </row>
    <row r="716" spans="4:4" ht="15.75" customHeight="1">
      <c r="D716" s="60"/>
    </row>
    <row r="717" spans="4:4" ht="15.75" customHeight="1">
      <c r="D717" s="60"/>
    </row>
    <row r="718" spans="4:4" ht="15.75" customHeight="1">
      <c r="D718" s="60"/>
    </row>
    <row r="719" spans="4:4" ht="15.75" customHeight="1">
      <c r="D719" s="60"/>
    </row>
    <row r="720" spans="4:4" ht="15.75" customHeight="1">
      <c r="D720" s="60"/>
    </row>
    <row r="721" spans="4:4" ht="15.75" customHeight="1">
      <c r="D721" s="60"/>
    </row>
    <row r="722" spans="4:4" ht="15.75" customHeight="1">
      <c r="D722" s="60"/>
    </row>
    <row r="723" spans="4:4" ht="15.75" customHeight="1">
      <c r="D723" s="60"/>
    </row>
    <row r="724" spans="4:4" ht="15.75" customHeight="1">
      <c r="D724" s="60"/>
    </row>
    <row r="725" spans="4:4" ht="15.75" customHeight="1">
      <c r="D725" s="60"/>
    </row>
    <row r="726" spans="4:4" ht="15.75" customHeight="1">
      <c r="D726" s="60"/>
    </row>
    <row r="727" spans="4:4" ht="15.75" customHeight="1">
      <c r="D727" s="60"/>
    </row>
    <row r="728" spans="4:4" ht="15.75" customHeight="1">
      <c r="D728" s="60"/>
    </row>
    <row r="729" spans="4:4" ht="15.75" customHeight="1">
      <c r="D729" s="60"/>
    </row>
    <row r="730" spans="4:4" ht="15.75" customHeight="1">
      <c r="D730" s="60"/>
    </row>
    <row r="731" spans="4:4" ht="15.75" customHeight="1">
      <c r="D731" s="60"/>
    </row>
    <row r="732" spans="4:4" ht="15.75" customHeight="1">
      <c r="D732" s="60"/>
    </row>
    <row r="733" spans="4:4" ht="15.75" customHeight="1">
      <c r="D733" s="60"/>
    </row>
    <row r="734" spans="4:4" ht="15.75" customHeight="1">
      <c r="D734" s="60"/>
    </row>
    <row r="735" spans="4:4" ht="15.75" customHeight="1">
      <c r="D735" s="60"/>
    </row>
    <row r="736" spans="4:4" ht="15.75" customHeight="1">
      <c r="D736" s="60"/>
    </row>
    <row r="737" spans="4:4" ht="15.75" customHeight="1">
      <c r="D737" s="60"/>
    </row>
    <row r="738" spans="4:4" ht="15.75" customHeight="1">
      <c r="D738" s="60"/>
    </row>
    <row r="739" spans="4:4" ht="15.75" customHeight="1">
      <c r="D739" s="60"/>
    </row>
    <row r="740" spans="4:4" ht="15.75" customHeight="1">
      <c r="D740" s="60"/>
    </row>
    <row r="741" spans="4:4" ht="15.75" customHeight="1">
      <c r="D741" s="60"/>
    </row>
    <row r="742" spans="4:4" ht="15.75" customHeight="1">
      <c r="D742" s="60"/>
    </row>
    <row r="743" spans="4:4" ht="15.75" customHeight="1">
      <c r="D743" s="60"/>
    </row>
    <row r="744" spans="4:4" ht="15.75" customHeight="1">
      <c r="D744" s="60"/>
    </row>
    <row r="745" spans="4:4" ht="15.75" customHeight="1">
      <c r="D745" s="60"/>
    </row>
    <row r="746" spans="4:4" ht="15.75" customHeight="1">
      <c r="D746" s="60"/>
    </row>
    <row r="747" spans="4:4" ht="15.75" customHeight="1">
      <c r="D747" s="60"/>
    </row>
    <row r="748" spans="4:4" ht="15.75" customHeight="1">
      <c r="D748" s="60"/>
    </row>
    <row r="749" spans="4:4" ht="15.75" customHeight="1">
      <c r="D749" s="60"/>
    </row>
    <row r="750" spans="4:4" ht="15.75" customHeight="1">
      <c r="D750" s="60"/>
    </row>
    <row r="751" spans="4:4" ht="15.75" customHeight="1">
      <c r="D751" s="60"/>
    </row>
    <row r="752" spans="4:4" ht="15.75" customHeight="1">
      <c r="D752" s="60"/>
    </row>
    <row r="753" spans="4:4" ht="15.75" customHeight="1">
      <c r="D753" s="60"/>
    </row>
    <row r="754" spans="4:4" ht="15.75" customHeight="1">
      <c r="D754" s="60"/>
    </row>
    <row r="755" spans="4:4" ht="15.75" customHeight="1">
      <c r="D755" s="60"/>
    </row>
    <row r="756" spans="4:4" ht="15.75" customHeight="1">
      <c r="D756" s="60"/>
    </row>
    <row r="757" spans="4:4" ht="15.75" customHeight="1">
      <c r="D757" s="60"/>
    </row>
    <row r="758" spans="4:4" ht="15.75" customHeight="1">
      <c r="D758" s="60"/>
    </row>
    <row r="759" spans="4:4" ht="15.75" customHeight="1">
      <c r="D759" s="60"/>
    </row>
    <row r="760" spans="4:4" ht="15.75" customHeight="1">
      <c r="D760" s="60"/>
    </row>
    <row r="761" spans="4:4" ht="15.75" customHeight="1">
      <c r="D761" s="60"/>
    </row>
    <row r="762" spans="4:4" ht="15.75" customHeight="1">
      <c r="D762" s="60"/>
    </row>
    <row r="763" spans="4:4" ht="15.75" customHeight="1">
      <c r="D763" s="60"/>
    </row>
    <row r="764" spans="4:4" ht="15.75" customHeight="1">
      <c r="D764" s="60"/>
    </row>
    <row r="765" spans="4:4" ht="15.75" customHeight="1">
      <c r="D765" s="60"/>
    </row>
    <row r="766" spans="4:4" ht="15.75" customHeight="1">
      <c r="D766" s="60"/>
    </row>
    <row r="767" spans="4:4" ht="15.75" customHeight="1">
      <c r="D767" s="60"/>
    </row>
    <row r="768" spans="4:4" ht="15.75" customHeight="1">
      <c r="D768" s="60"/>
    </row>
    <row r="769" spans="4:4" ht="15.75" customHeight="1">
      <c r="D769" s="60"/>
    </row>
    <row r="770" spans="4:4" ht="15.75" customHeight="1">
      <c r="D770" s="60"/>
    </row>
    <row r="771" spans="4:4" ht="15.75" customHeight="1">
      <c r="D771" s="60"/>
    </row>
    <row r="772" spans="4:4" ht="15.75" customHeight="1">
      <c r="D772" s="60"/>
    </row>
    <row r="773" spans="4:4" ht="15.75" customHeight="1">
      <c r="D773" s="60"/>
    </row>
    <row r="774" spans="4:4" ht="15.75" customHeight="1">
      <c r="D774" s="60"/>
    </row>
    <row r="775" spans="4:4" ht="15.75" customHeight="1">
      <c r="D775" s="60"/>
    </row>
    <row r="776" spans="4:4" ht="15.75" customHeight="1">
      <c r="D776" s="60"/>
    </row>
    <row r="777" spans="4:4" ht="15.75" customHeight="1">
      <c r="D777" s="60"/>
    </row>
    <row r="778" spans="4:4" ht="15.75" customHeight="1">
      <c r="D778" s="60"/>
    </row>
    <row r="779" spans="4:4" ht="15.75" customHeight="1">
      <c r="D779" s="60"/>
    </row>
    <row r="780" spans="4:4" ht="15.75" customHeight="1">
      <c r="D780" s="60"/>
    </row>
    <row r="781" spans="4:4" ht="15.75" customHeight="1">
      <c r="D781" s="60"/>
    </row>
    <row r="782" spans="4:4" ht="15.75" customHeight="1">
      <c r="D782" s="60"/>
    </row>
    <row r="783" spans="4:4" ht="15.75" customHeight="1">
      <c r="D783" s="60"/>
    </row>
    <row r="784" spans="4:4" ht="15.75" customHeight="1">
      <c r="D784" s="60"/>
    </row>
    <row r="785" spans="4:4" ht="15.75" customHeight="1">
      <c r="D785" s="60"/>
    </row>
    <row r="786" spans="4:4" ht="15.75" customHeight="1">
      <c r="D786" s="60"/>
    </row>
    <row r="787" spans="4:4" ht="15.75" customHeight="1">
      <c r="D787" s="60"/>
    </row>
    <row r="788" spans="4:4" ht="15.75" customHeight="1">
      <c r="D788" s="60"/>
    </row>
    <row r="789" spans="4:4" ht="15.75" customHeight="1">
      <c r="D789" s="60"/>
    </row>
    <row r="790" spans="4:4" ht="15.75" customHeight="1">
      <c r="D790" s="60"/>
    </row>
    <row r="791" spans="4:4" ht="15.75" customHeight="1">
      <c r="D791" s="60"/>
    </row>
    <row r="792" spans="4:4" ht="15.75" customHeight="1">
      <c r="D792" s="60"/>
    </row>
    <row r="793" spans="4:4" ht="15.75" customHeight="1">
      <c r="D793" s="60"/>
    </row>
    <row r="794" spans="4:4" ht="15.75" customHeight="1">
      <c r="D794" s="60"/>
    </row>
    <row r="795" spans="4:4" ht="15.75" customHeight="1">
      <c r="D795" s="60"/>
    </row>
    <row r="796" spans="4:4" ht="15.75" customHeight="1">
      <c r="D796" s="60"/>
    </row>
    <row r="797" spans="4:4" ht="15.75" customHeight="1">
      <c r="D797" s="60"/>
    </row>
    <row r="798" spans="4:4" ht="15.75" customHeight="1">
      <c r="D798" s="60"/>
    </row>
    <row r="799" spans="4:4" ht="15.75" customHeight="1">
      <c r="D799" s="60"/>
    </row>
    <row r="800" spans="4:4" ht="15.75" customHeight="1">
      <c r="D800" s="60"/>
    </row>
    <row r="801" spans="4:4" ht="15.75" customHeight="1">
      <c r="D801" s="60"/>
    </row>
    <row r="802" spans="4:4" ht="15.75" customHeight="1">
      <c r="D802" s="60"/>
    </row>
    <row r="803" spans="4:4" ht="15.75" customHeight="1">
      <c r="D803" s="60"/>
    </row>
    <row r="804" spans="4:4" ht="15.75" customHeight="1">
      <c r="D804" s="60"/>
    </row>
    <row r="805" spans="4:4" ht="15.75" customHeight="1">
      <c r="D805" s="60"/>
    </row>
    <row r="806" spans="4:4" ht="15.75" customHeight="1">
      <c r="D806" s="60"/>
    </row>
    <row r="807" spans="4:4" ht="15.75" customHeight="1">
      <c r="D807" s="60"/>
    </row>
    <row r="808" spans="4:4" ht="15.75" customHeight="1">
      <c r="D808" s="60"/>
    </row>
    <row r="809" spans="4:4" ht="15.75" customHeight="1">
      <c r="D809" s="60"/>
    </row>
    <row r="810" spans="4:4" ht="15.75" customHeight="1">
      <c r="D810" s="60"/>
    </row>
    <row r="811" spans="4:4" ht="15.75" customHeight="1">
      <c r="D811" s="60"/>
    </row>
    <row r="812" spans="4:4" ht="15.75" customHeight="1">
      <c r="D812" s="60"/>
    </row>
    <row r="813" spans="4:4" ht="15.75" customHeight="1">
      <c r="D813" s="60"/>
    </row>
    <row r="814" spans="4:4" ht="15.75" customHeight="1">
      <c r="D814" s="60"/>
    </row>
    <row r="815" spans="4:4" ht="15.75" customHeight="1">
      <c r="D815" s="60"/>
    </row>
    <row r="816" spans="4:4" ht="15.75" customHeight="1">
      <c r="D816" s="60"/>
    </row>
    <row r="817" spans="4:4" ht="15.75" customHeight="1">
      <c r="D817" s="60"/>
    </row>
    <row r="818" spans="4:4" ht="15.75" customHeight="1">
      <c r="D818" s="60"/>
    </row>
    <row r="819" spans="4:4" ht="15.75" customHeight="1">
      <c r="D819" s="60"/>
    </row>
    <row r="820" spans="4:4" ht="15.75" customHeight="1">
      <c r="D820" s="60"/>
    </row>
    <row r="821" spans="4:4" ht="15.75" customHeight="1">
      <c r="D821" s="60"/>
    </row>
    <row r="822" spans="4:4" ht="15.75" customHeight="1">
      <c r="D822" s="60"/>
    </row>
    <row r="823" spans="4:4" ht="15.75" customHeight="1">
      <c r="D823" s="60"/>
    </row>
    <row r="824" spans="4:4" ht="15.75" customHeight="1">
      <c r="D824" s="60"/>
    </row>
    <row r="825" spans="4:4" ht="15.75" customHeight="1">
      <c r="D825" s="60"/>
    </row>
    <row r="826" spans="4:4" ht="15.75" customHeight="1">
      <c r="D826" s="60"/>
    </row>
    <row r="827" spans="4:4" ht="15.75" customHeight="1">
      <c r="D827" s="60"/>
    </row>
    <row r="828" spans="4:4" ht="15.75" customHeight="1">
      <c r="D828" s="60"/>
    </row>
    <row r="829" spans="4:4" ht="15.75" customHeight="1">
      <c r="D829" s="60"/>
    </row>
    <row r="830" spans="4:4" ht="15.75" customHeight="1">
      <c r="D830" s="60"/>
    </row>
    <row r="831" spans="4:4" ht="15.75" customHeight="1">
      <c r="D831" s="60"/>
    </row>
    <row r="832" spans="4:4" ht="15.75" customHeight="1">
      <c r="D832" s="60"/>
    </row>
    <row r="833" spans="4:4" ht="15.75" customHeight="1">
      <c r="D833" s="60"/>
    </row>
    <row r="834" spans="4:4" ht="15.75" customHeight="1">
      <c r="D834" s="60"/>
    </row>
    <row r="835" spans="4:4" ht="15.75" customHeight="1">
      <c r="D835" s="60"/>
    </row>
    <row r="836" spans="4:4" ht="15.75" customHeight="1">
      <c r="D836" s="60"/>
    </row>
    <row r="837" spans="4:4" ht="15.75" customHeight="1">
      <c r="D837" s="60"/>
    </row>
    <row r="838" spans="4:4" ht="15.75" customHeight="1">
      <c r="D838" s="60"/>
    </row>
    <row r="839" spans="4:4" ht="15.75" customHeight="1">
      <c r="D839" s="60"/>
    </row>
    <row r="840" spans="4:4" ht="15.75" customHeight="1">
      <c r="D840" s="60"/>
    </row>
    <row r="841" spans="4:4" ht="15.75" customHeight="1">
      <c r="D841" s="60"/>
    </row>
    <row r="842" spans="4:4" ht="15.75" customHeight="1">
      <c r="D842" s="60"/>
    </row>
    <row r="843" spans="4:4" ht="15.75" customHeight="1">
      <c r="D843" s="60"/>
    </row>
    <row r="844" spans="4:4" ht="15.75" customHeight="1">
      <c r="D844" s="60"/>
    </row>
    <row r="845" spans="4:4" ht="15.75" customHeight="1">
      <c r="D845" s="60"/>
    </row>
    <row r="846" spans="4:4" ht="15.75" customHeight="1">
      <c r="D846" s="60"/>
    </row>
    <row r="847" spans="4:4" ht="15.75" customHeight="1">
      <c r="D847" s="60"/>
    </row>
    <row r="848" spans="4:4" ht="15.75" customHeight="1">
      <c r="D848" s="60"/>
    </row>
    <row r="849" spans="4:4" ht="15.75" customHeight="1">
      <c r="D849" s="60"/>
    </row>
    <row r="850" spans="4:4" ht="15.75" customHeight="1">
      <c r="D850" s="60"/>
    </row>
    <row r="851" spans="4:4" ht="15.75" customHeight="1">
      <c r="D851" s="60"/>
    </row>
    <row r="852" spans="4:4" ht="15.75" customHeight="1">
      <c r="D852" s="60"/>
    </row>
    <row r="853" spans="4:4" ht="15.75" customHeight="1">
      <c r="D853" s="60"/>
    </row>
    <row r="854" spans="4:4" ht="15.75" customHeight="1">
      <c r="D854" s="60"/>
    </row>
    <row r="855" spans="4:4" ht="15.75" customHeight="1">
      <c r="D855" s="60"/>
    </row>
    <row r="856" spans="4:4" ht="15.75" customHeight="1">
      <c r="D856" s="60"/>
    </row>
    <row r="857" spans="4:4" ht="15.75" customHeight="1">
      <c r="D857" s="60"/>
    </row>
    <row r="858" spans="4:4" ht="15.75" customHeight="1">
      <c r="D858" s="60"/>
    </row>
    <row r="859" spans="4:4" ht="15.75" customHeight="1">
      <c r="D859" s="60"/>
    </row>
    <row r="860" spans="4:4" ht="15.75" customHeight="1">
      <c r="D860" s="60"/>
    </row>
    <row r="861" spans="4:4" ht="15.75" customHeight="1">
      <c r="D861" s="60"/>
    </row>
    <row r="862" spans="4:4" ht="15.75" customHeight="1">
      <c r="D862" s="60"/>
    </row>
    <row r="863" spans="4:4" ht="15.75" customHeight="1">
      <c r="D863" s="60"/>
    </row>
    <row r="864" spans="4:4" ht="15.75" customHeight="1">
      <c r="D864" s="60"/>
    </row>
    <row r="865" spans="4:4" ht="15.75" customHeight="1">
      <c r="D865" s="60"/>
    </row>
    <row r="866" spans="4:4" ht="15.75" customHeight="1">
      <c r="D866" s="60"/>
    </row>
    <row r="867" spans="4:4" ht="15.75" customHeight="1">
      <c r="D867" s="60"/>
    </row>
    <row r="868" spans="4:4" ht="15.75" customHeight="1">
      <c r="D868" s="60"/>
    </row>
    <row r="869" spans="4:4" ht="15.75" customHeight="1">
      <c r="D869" s="60"/>
    </row>
    <row r="870" spans="4:4" ht="15.75" customHeight="1">
      <c r="D870" s="60"/>
    </row>
    <row r="871" spans="4:4" ht="15.75" customHeight="1">
      <c r="D871" s="60"/>
    </row>
    <row r="872" spans="4:4" ht="15.75" customHeight="1">
      <c r="D872" s="60"/>
    </row>
    <row r="873" spans="4:4" ht="15.75" customHeight="1">
      <c r="D873" s="60"/>
    </row>
    <row r="874" spans="4:4" ht="15.75" customHeight="1">
      <c r="D874" s="60"/>
    </row>
    <row r="875" spans="4:4" ht="15.75" customHeight="1">
      <c r="D875" s="60"/>
    </row>
    <row r="876" spans="4:4" ht="15.75" customHeight="1">
      <c r="D876" s="60"/>
    </row>
    <row r="877" spans="4:4" ht="15.75" customHeight="1">
      <c r="D877" s="60"/>
    </row>
    <row r="878" spans="4:4" ht="15.75" customHeight="1">
      <c r="D878" s="60"/>
    </row>
    <row r="879" spans="4:4" ht="15.75" customHeight="1">
      <c r="D879" s="60"/>
    </row>
    <row r="880" spans="4:4" ht="15.75" customHeight="1">
      <c r="D880" s="60"/>
    </row>
    <row r="881" spans="4:4" ht="15.75" customHeight="1">
      <c r="D881" s="60"/>
    </row>
    <row r="882" spans="4:4" ht="15.75" customHeight="1">
      <c r="D882" s="60"/>
    </row>
    <row r="883" spans="4:4" ht="15.75" customHeight="1">
      <c r="D883" s="60"/>
    </row>
    <row r="884" spans="4:4" ht="15.75" customHeight="1">
      <c r="D884" s="60"/>
    </row>
    <row r="885" spans="4:4" ht="15.75" customHeight="1">
      <c r="D885" s="60"/>
    </row>
    <row r="886" spans="4:4" ht="15.75" customHeight="1">
      <c r="D886" s="60"/>
    </row>
    <row r="887" spans="4:4" ht="15.75" customHeight="1">
      <c r="D887" s="60"/>
    </row>
    <row r="888" spans="4:4" ht="15.75" customHeight="1">
      <c r="D888" s="60"/>
    </row>
    <row r="889" spans="4:4" ht="15.75" customHeight="1">
      <c r="D889" s="60"/>
    </row>
    <row r="890" spans="4:4" ht="15.75" customHeight="1">
      <c r="D890" s="60"/>
    </row>
    <row r="891" spans="4:4" ht="15.75" customHeight="1">
      <c r="D891" s="60"/>
    </row>
    <row r="892" spans="4:4" ht="15.75" customHeight="1">
      <c r="D892" s="60"/>
    </row>
    <row r="893" spans="4:4" ht="15.75" customHeight="1">
      <c r="D893" s="60"/>
    </row>
    <row r="894" spans="4:4" ht="15.75" customHeight="1">
      <c r="D894" s="60"/>
    </row>
    <row r="895" spans="4:4" ht="15.75" customHeight="1">
      <c r="D895" s="60"/>
    </row>
    <row r="896" spans="4:4" ht="15.75" customHeight="1">
      <c r="D896" s="60"/>
    </row>
    <row r="897" spans="4:4" ht="15.75" customHeight="1">
      <c r="D897" s="60"/>
    </row>
    <row r="898" spans="4:4" ht="15.75" customHeight="1">
      <c r="D898" s="60"/>
    </row>
    <row r="899" spans="4:4" ht="15.75" customHeight="1">
      <c r="D899" s="60"/>
    </row>
    <row r="900" spans="4:4" ht="15.75" customHeight="1">
      <c r="D900" s="60"/>
    </row>
    <row r="901" spans="4:4" ht="15.75" customHeight="1">
      <c r="D901" s="60"/>
    </row>
    <row r="902" spans="4:4" ht="15.75" customHeight="1">
      <c r="D902" s="60"/>
    </row>
    <row r="903" spans="4:4" ht="15.75" customHeight="1">
      <c r="D903" s="60"/>
    </row>
    <row r="904" spans="4:4" ht="15.75" customHeight="1">
      <c r="D904" s="60"/>
    </row>
    <row r="905" spans="4:4" ht="15.75" customHeight="1">
      <c r="D905" s="60"/>
    </row>
    <row r="906" spans="4:4" ht="15.75" customHeight="1">
      <c r="D906" s="60"/>
    </row>
    <row r="907" spans="4:4" ht="15.75" customHeight="1">
      <c r="D907" s="60"/>
    </row>
    <row r="908" spans="4:4" ht="15.75" customHeight="1">
      <c r="D908" s="60"/>
    </row>
    <row r="909" spans="4:4" ht="15.75" customHeight="1">
      <c r="D909" s="60"/>
    </row>
    <row r="910" spans="4:4" ht="15.75" customHeight="1">
      <c r="D910" s="60"/>
    </row>
    <row r="911" spans="4:4" ht="15.75" customHeight="1">
      <c r="D911" s="60"/>
    </row>
    <row r="912" spans="4:4" ht="15.75" customHeight="1">
      <c r="D912" s="60"/>
    </row>
    <row r="913" spans="4:4" ht="15.75" customHeight="1">
      <c r="D913" s="60"/>
    </row>
    <row r="914" spans="4:4" ht="15.75" customHeight="1">
      <c r="D914" s="60"/>
    </row>
    <row r="915" spans="4:4" ht="15.75" customHeight="1">
      <c r="D915" s="60"/>
    </row>
    <row r="916" spans="4:4" ht="15.75" customHeight="1">
      <c r="D916" s="60"/>
    </row>
    <row r="917" spans="4:4" ht="15.75" customHeight="1">
      <c r="D917" s="60"/>
    </row>
    <row r="918" spans="4:4" ht="15.75" customHeight="1">
      <c r="D918" s="60"/>
    </row>
    <row r="919" spans="4:4" ht="15.75" customHeight="1">
      <c r="D919" s="60"/>
    </row>
    <row r="920" spans="4:4" ht="15.75" customHeight="1">
      <c r="D920" s="60"/>
    </row>
    <row r="921" spans="4:4" ht="15.75" customHeight="1">
      <c r="D921" s="60"/>
    </row>
    <row r="922" spans="4:4" ht="15.75" customHeight="1">
      <c r="D922" s="60"/>
    </row>
    <row r="923" spans="4:4" ht="15.75" customHeight="1">
      <c r="D923" s="60"/>
    </row>
    <row r="924" spans="4:4" ht="15.75" customHeight="1">
      <c r="D924" s="60"/>
    </row>
    <row r="925" spans="4:4" ht="15.75" customHeight="1">
      <c r="D925" s="60"/>
    </row>
    <row r="926" spans="4:4" ht="15.75" customHeight="1">
      <c r="D926" s="60"/>
    </row>
    <row r="927" spans="4:4" ht="15.75" customHeight="1">
      <c r="D927" s="60"/>
    </row>
    <row r="928" spans="4:4" ht="15.75" customHeight="1">
      <c r="D928" s="60"/>
    </row>
    <row r="929" spans="4:4" ht="15.75" customHeight="1">
      <c r="D929" s="60"/>
    </row>
    <row r="930" spans="4:4" ht="15.75" customHeight="1">
      <c r="D930" s="60"/>
    </row>
    <row r="931" spans="4:4" ht="15.75" customHeight="1">
      <c r="D931" s="60"/>
    </row>
    <row r="932" spans="4:4" ht="15.75" customHeight="1">
      <c r="D932" s="60"/>
    </row>
    <row r="933" spans="4:4" ht="15.75" customHeight="1">
      <c r="D933" s="60"/>
    </row>
    <row r="934" spans="4:4" ht="15.75" customHeight="1">
      <c r="D934" s="60"/>
    </row>
    <row r="935" spans="4:4" ht="15.75" customHeight="1">
      <c r="D935" s="60"/>
    </row>
    <row r="936" spans="4:4" ht="15.75" customHeight="1">
      <c r="D936" s="60"/>
    </row>
    <row r="937" spans="4:4" ht="15.75" customHeight="1">
      <c r="D937" s="60"/>
    </row>
    <row r="938" spans="4:4" ht="15.75" customHeight="1">
      <c r="D938" s="60"/>
    </row>
    <row r="939" spans="4:4" ht="15.75" customHeight="1">
      <c r="D939" s="60"/>
    </row>
    <row r="940" spans="4:4" ht="15.75" customHeight="1">
      <c r="D940" s="60"/>
    </row>
    <row r="941" spans="4:4" ht="15.75" customHeight="1">
      <c r="D941" s="60"/>
    </row>
    <row r="942" spans="4:4" ht="15.75" customHeight="1">
      <c r="D942" s="60"/>
    </row>
    <row r="943" spans="4:4" ht="15.75" customHeight="1">
      <c r="D943" s="60"/>
    </row>
    <row r="944" spans="4:4" ht="15.75" customHeight="1">
      <c r="D944" s="60"/>
    </row>
    <row r="945" spans="4:4" ht="15.75" customHeight="1">
      <c r="D945" s="60"/>
    </row>
    <row r="946" spans="4:4" ht="15.75" customHeight="1">
      <c r="D946" s="60"/>
    </row>
    <row r="947" spans="4:4" ht="15.75" customHeight="1">
      <c r="D947" s="60"/>
    </row>
    <row r="948" spans="4:4" ht="15.75" customHeight="1">
      <c r="D948" s="60"/>
    </row>
    <row r="949" spans="4:4" ht="15.75" customHeight="1">
      <c r="D949" s="60"/>
    </row>
    <row r="950" spans="4:4" ht="15.75" customHeight="1">
      <c r="D950" s="60"/>
    </row>
    <row r="951" spans="4:4" ht="15.75" customHeight="1">
      <c r="D951" s="60"/>
    </row>
    <row r="952" spans="4:4" ht="15.75" customHeight="1">
      <c r="D952" s="60"/>
    </row>
    <row r="953" spans="4:4" ht="15.75" customHeight="1">
      <c r="D953" s="60"/>
    </row>
    <row r="954" spans="4:4" ht="15.75" customHeight="1">
      <c r="D954" s="60"/>
    </row>
    <row r="955" spans="4:4" ht="15.75" customHeight="1">
      <c r="D955" s="60"/>
    </row>
    <row r="956" spans="4:4" ht="15.75" customHeight="1">
      <c r="D956" s="60"/>
    </row>
  </sheetData>
  <mergeCells count="42">
    <mergeCell ref="E66:F66"/>
    <mergeCell ref="B62:C66"/>
    <mergeCell ref="B61:C61"/>
    <mergeCell ref="G59:I59"/>
    <mergeCell ref="G60:I60"/>
    <mergeCell ref="G61:I65"/>
    <mergeCell ref="G66:I66"/>
    <mergeCell ref="F14:I14"/>
    <mergeCell ref="F15:I15"/>
    <mergeCell ref="E51:H51"/>
    <mergeCell ref="B59:C59"/>
    <mergeCell ref="E59:F65"/>
    <mergeCell ref="B60:C60"/>
    <mergeCell ref="F52:H52"/>
    <mergeCell ref="F53:H53"/>
    <mergeCell ref="F54:H54"/>
    <mergeCell ref="F55:H55"/>
    <mergeCell ref="F56:H56"/>
    <mergeCell ref="B57:I57"/>
    <mergeCell ref="B58:I58"/>
    <mergeCell ref="G5:I5"/>
    <mergeCell ref="B6:C6"/>
    <mergeCell ref="B9:C9"/>
    <mergeCell ref="C11:C12"/>
    <mergeCell ref="B16:C16"/>
    <mergeCell ref="E5:F5"/>
    <mergeCell ref="E6:F6"/>
    <mergeCell ref="G6:I6"/>
    <mergeCell ref="E7:F7"/>
    <mergeCell ref="G7:I7"/>
    <mergeCell ref="E8:F8"/>
    <mergeCell ref="G8:I8"/>
    <mergeCell ref="E9:I9"/>
    <mergeCell ref="F10:I10"/>
    <mergeCell ref="F11:I12"/>
    <mergeCell ref="F13:I13"/>
    <mergeCell ref="B1:B2"/>
    <mergeCell ref="C1:I1"/>
    <mergeCell ref="C2:I2"/>
    <mergeCell ref="B3:I3"/>
    <mergeCell ref="E4:F4"/>
    <mergeCell ref="G4:I4"/>
  </mergeCells>
  <dataValidations count="2">
    <dataValidation type="custom" allowBlank="1" showErrorMessage="1" sqref="H20">
      <formula1>NOT(ISBLANK(#REF!))</formula1>
    </dataValidation>
    <dataValidation type="custom" allowBlank="1" showErrorMessage="1" sqref="F11">
      <formula1>NOT(ISBLANK(F10))</formula1>
    </dataValidation>
  </dataValidations>
  <printOptions horizontalCentered="1" gridLines="1"/>
  <pageMargins left="0.25" right="0.25" top="0.75" bottom="0.75" header="0" footer="0"/>
  <pageSetup fitToHeight="0" pageOrder="overThenDown" orientation="portrait" cellComments="atEnd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parry.and@gmail.com</cp:lastModifiedBy>
  <dcterms:created xsi:type="dcterms:W3CDTF">2024-10-02T12:46:15Z</dcterms:created>
  <dcterms:modified xsi:type="dcterms:W3CDTF">2025-02-07T08:01:34Z</dcterms:modified>
</cp:coreProperties>
</file>