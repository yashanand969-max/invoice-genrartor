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<sst xmlns="http://schemas.openxmlformats.org/spreadsheetml/2006/main" count="173" uniqueCount="130">
  <si>
    <t>M/S I FOUR U ENGINEERING SERVICES</t>
  </si>
  <si>
    <t>Office Address :  House No. 329, New Karmik Nagar, PO ISM, Dhanbad,
Jharkhand, 826004, Ph No. +91 70422-20470</t>
  </si>
  <si>
    <t>GSTIN : 20ARNPA8397C1ZX</t>
  </si>
  <si>
    <t xml:space="preserve">INVOICE NUMBER </t>
  </si>
  <si>
    <t>APLC-002</t>
  </si>
  <si>
    <t>Transportation Mode</t>
  </si>
  <si>
    <t>Work at site</t>
  </si>
  <si>
    <t xml:space="preserve">GSTIN : </t>
  </si>
  <si>
    <r>
      <rPr>
        <rFont val="Bookman Old Style"/>
        <b/>
        <color rgb="FF1F1F1F"/>
        <sz val="12.0"/>
      </rPr>
      <t>20ARNPA8397C1ZX</t>
    </r>
  </si>
  <si>
    <t>Vehicle No.</t>
  </si>
  <si>
    <t>N/A</t>
  </si>
  <si>
    <t>Tax is payable on reverse charge : (yes /no)</t>
  </si>
  <si>
    <t>Date and Time of supply</t>
  </si>
  <si>
    <t>INVOICE DATE</t>
  </si>
  <si>
    <t>Place of supply</t>
  </si>
  <si>
    <t>Sodepur Amrabati More</t>
  </si>
  <si>
    <t>Details of Reciever (Billed to)</t>
  </si>
  <si>
    <t>Details of Consignee (Work at Site)</t>
  </si>
  <si>
    <t>Name</t>
  </si>
  <si>
    <t>Apollo Pharmacies Limited</t>
  </si>
  <si>
    <t>Sodepur Amrabati More (Site ID-25432)</t>
  </si>
  <si>
    <t>Address</t>
  </si>
  <si>
    <t>Block A RGM 5/284, Jagardanga Rajarhat Gopalpur, New Town , Kolkata-700136</t>
  </si>
  <si>
    <t>Holding no.-3, P.N. Chaterjee Road , Ward No -22 GF+FF,PO-Sodepur,North 24 Praganas,Pin- 700110</t>
  </si>
  <si>
    <t>State</t>
  </si>
  <si>
    <t>West Bengal</t>
  </si>
  <si>
    <t>State Code</t>
  </si>
  <si>
    <t>GSTIN NO.</t>
  </si>
  <si>
    <t>19AAPCA5954P1ZO</t>
  </si>
  <si>
    <t>W/0: APL/WB/CIVL/24-25/34</t>
  </si>
  <si>
    <t>S NO.</t>
  </si>
  <si>
    <t>ITEM NAME</t>
  </si>
  <si>
    <t>DESCRIPTION OF THE ITEM</t>
  </si>
  <si>
    <t>SAC</t>
  </si>
  <si>
    <t>PRODUCT</t>
  </si>
  <si>
    <t>UNIT</t>
  </si>
  <si>
    <t>Price</t>
  </si>
  <si>
    <t>Quantity</t>
  </si>
  <si>
    <t>Amount</t>
  </si>
  <si>
    <t>CIVIL WORKS</t>
  </si>
  <si>
    <t>False Ceiling</t>
  </si>
  <si>
    <t>Providing and fixing 12.5mm thick gypboard ceiling surfaces in plain including G.I. suspenders of same make forming a grid of intermediate channel at 1220mm centre to centre with ceiling sections of 0.5MM heavy duty Guage fixed at 600mm centre to centre at right angle to the underside of intermediate channels complete as per Gyproc Technical Manual including finishing with jointing compound and joint dry wall tapes and priming with two coats of drywall top coat and fixing of perimeter channel at both ends( In case of band less than 1 ft executed in any of the locations, The Unit cost of RFt will be same as Sft as per the standard practise) . all complete</t>
  </si>
  <si>
    <r>
      <rPr>
        <rFont val="Aptos Narrow"/>
        <color theme="1"/>
        <sz val="13.0"/>
      </rPr>
      <t xml:space="preserve">Gyproc by Saint Gobain/ </t>
    </r>
    <r>
      <rPr>
        <rFont val="Aptos Narrow"/>
        <b/>
        <color theme="1"/>
        <sz val="13.0"/>
      </rPr>
      <t>Knauff</t>
    </r>
    <r>
      <rPr>
        <rFont val="Aptos Narrow"/>
        <color theme="1"/>
        <sz val="13.0"/>
      </rPr>
      <t xml:space="preserve"> </t>
    </r>
  </si>
  <si>
    <t>Sft</t>
  </si>
  <si>
    <r>
      <rPr>
        <rFont val="Aptos Narrow"/>
        <color theme="1"/>
        <sz val="13.0"/>
      </rPr>
      <t>Emulsion:</t>
    </r>
    <r>
      <rPr>
        <rFont val="Aptos Narrow"/>
        <b/>
        <color theme="1"/>
        <sz val="13.0"/>
      </rPr>
      <t xml:space="preserve"> Ceiling</t>
    </r>
  </si>
  <si>
    <r>
      <rPr>
        <rFont val="Aptos Narrow"/>
        <color theme="1"/>
        <sz val="13.0"/>
      </rPr>
      <t>Providing &amp; applying of 2 coat of putty of the</t>
    </r>
    <r>
      <rPr>
        <rFont val="Aptos Narrow"/>
        <b/>
        <color theme="1"/>
        <sz val="13.0"/>
      </rPr>
      <t xml:space="preserve"> Birla make</t>
    </r>
    <r>
      <rPr>
        <rFont val="Aptos Narrow"/>
        <color theme="1"/>
        <sz val="13.0"/>
      </rPr>
      <t xml:space="preserve"> inclsive of scrapping if any and sanding to the perfection followed by dry blowing of the surface without any visible fine medium and appying the 1 coat of primer to cover the unevenness in hue till dried followed by 2 coat of plastic emulsion paint of asian paints make of preferred shade applied in X-Y direction to attain eveness in finish. </t>
    </r>
    <r>
      <rPr>
        <rFont val="Aptos Narrow"/>
        <b/>
        <color theme="1"/>
        <sz val="13.0"/>
      </rPr>
      <t>(Code: White Royale L-105)</t>
    </r>
  </si>
  <si>
    <t xml:space="preserve">Asian Paint White ROYALE L-105         </t>
  </si>
  <si>
    <r>
      <rPr>
        <rFont val="Aptos Narrow"/>
        <color theme="1"/>
        <sz val="13.0"/>
      </rPr>
      <t xml:space="preserve">Emulsion: </t>
    </r>
    <r>
      <rPr>
        <rFont val="Aptos Narrow"/>
        <b/>
        <color theme="1"/>
        <sz val="13.0"/>
      </rPr>
      <t>Walls</t>
    </r>
  </si>
  <si>
    <r>
      <rPr>
        <rFont val="Aptos Narrow"/>
        <color theme="1"/>
        <sz val="13.0"/>
      </rPr>
      <t xml:space="preserve">Providing &amp; applying of 2 coat of putty of the </t>
    </r>
    <r>
      <rPr>
        <rFont val="Aptos Narrow"/>
        <b/>
        <color theme="1"/>
        <sz val="13.0"/>
      </rPr>
      <t>Birla make</t>
    </r>
    <r>
      <rPr>
        <rFont val="Aptos Narrow"/>
        <color theme="1"/>
        <sz val="13.0"/>
      </rPr>
      <t xml:space="preserve"> inclsive of scrapping if any and sanding to the perfection followed by dry blowing of the surface without any visible fine medium and appying the 1 coat of primer to cover the unevenness in hue till dried followed by 2 coat of plastic emulsion paint of asian paints make of preferred shade applied in X-Y direction to attain eveness in finish.</t>
    </r>
    <r>
      <rPr>
        <rFont val="Aptos Narrow"/>
        <b/>
        <color theme="1"/>
        <sz val="13.0"/>
      </rPr>
      <t>(Code: White Tractor Emulsion L-105)</t>
    </r>
  </si>
  <si>
    <t>Asian Paint White Tractor Emulsion   L-105</t>
  </si>
  <si>
    <t>3A</t>
  </si>
  <si>
    <t>Emulsion walls</t>
  </si>
  <si>
    <t>Cost only for sanding +primer+ 2 Coats of Paint</t>
  </si>
  <si>
    <t>Enamel Painting - Shutters</t>
  </si>
  <si>
    <r>
      <rPr>
        <rFont val="Aptos Narrow"/>
        <color theme="1"/>
        <sz val="13.0"/>
      </rPr>
      <t xml:space="preserve">Providing &amp; applying of Enamel Paint with </t>
    </r>
    <r>
      <rPr>
        <rFont val="Aptos Narrow"/>
        <b/>
        <color theme="1"/>
        <sz val="13.0"/>
      </rPr>
      <t>asian paints</t>
    </r>
    <r>
      <rPr>
        <rFont val="Aptos Narrow"/>
        <color theme="1"/>
        <sz val="13.0"/>
      </rPr>
      <t xml:space="preserve"> with approved shade minimum of </t>
    </r>
    <r>
      <rPr>
        <rFont val="Aptos Narrow"/>
        <b/>
        <color theme="1"/>
        <sz val="13.0"/>
      </rPr>
      <t xml:space="preserve">2 coats </t>
    </r>
    <r>
      <rPr>
        <rFont val="Aptos Narrow"/>
        <color theme="1"/>
        <sz val="13.0"/>
      </rPr>
      <t>including scrapping, one coat primer, 2 coats painting &amp; making good existing surface to receive including cleaning on completion of painting. work etc. complete in all respects</t>
    </r>
  </si>
  <si>
    <t>Asian Paints</t>
  </si>
  <si>
    <t>Gypsum Partitions Double  side</t>
  </si>
  <si>
    <r>
      <rPr>
        <rFont val="Aptos Narrow"/>
        <color theme="1"/>
        <sz val="13.0"/>
      </rPr>
      <t>Providing and fixing required height solid parition of overal thickness</t>
    </r>
    <r>
      <rPr>
        <rFont val="Aptos Narrow"/>
        <b/>
        <color theme="1"/>
        <sz val="13.0"/>
      </rPr>
      <t xml:space="preserve"> 63mm</t>
    </r>
    <r>
      <rPr>
        <rFont val="Aptos Narrow"/>
        <color theme="1"/>
        <sz val="13.0"/>
      </rPr>
      <t xml:space="preserve"> using GI stud  of 50mmx50mmx0.5mm at 600 cc  vertical spacing  and 1200cc horizontical spacing with 12.5mm thick. </t>
    </r>
    <r>
      <rPr>
        <rFont val="Aptos Narrow"/>
        <b/>
        <color theme="1"/>
        <sz val="13.0"/>
      </rPr>
      <t>Saint gobian with Single skinning.</t>
    </r>
    <r>
      <rPr>
        <rFont val="Aptos Narrow"/>
        <color theme="1"/>
        <sz val="13.0"/>
      </rPr>
      <t xml:space="preserve"> All  joints  to be properly  sealed using tape all  complte to the satisfaction. </t>
    </r>
  </si>
  <si>
    <t>Gyproc by Saint Gobain</t>
  </si>
  <si>
    <t>Gypsum Partitions Single side</t>
  </si>
  <si>
    <r>
      <rPr>
        <rFont val="Aptos Narrow"/>
        <color theme="1"/>
        <sz val="13.0"/>
      </rPr>
      <t>Providing and fixing required height solid parition of overal thickness</t>
    </r>
    <r>
      <rPr>
        <rFont val="Aptos Narrow"/>
        <b/>
        <color theme="1"/>
        <sz val="13.0"/>
      </rPr>
      <t xml:space="preserve"> 63mm</t>
    </r>
    <r>
      <rPr>
        <rFont val="Aptos Narrow"/>
        <color theme="1"/>
        <sz val="13.0"/>
      </rPr>
      <t xml:space="preserve"> using GI stud  of 50mmx50mmx0.5mm at 600 cc  vertical spacing  and 1200cc horizontical spacing with 12.5mm thick. </t>
    </r>
    <r>
      <rPr>
        <rFont val="Aptos Narrow"/>
        <b/>
        <color theme="1"/>
        <sz val="13.0"/>
      </rPr>
      <t>Saint gobian with Single skinning.</t>
    </r>
    <r>
      <rPr>
        <rFont val="Aptos Narrow"/>
        <color theme="1"/>
        <sz val="13.0"/>
      </rPr>
      <t xml:space="preserve"> All  joints  to be properly  sealed using tape all  complte to the satisfaction. </t>
    </r>
  </si>
  <si>
    <t xml:space="preserve">Toughend glass  </t>
  </si>
  <si>
    <r>
      <rPr>
        <rFont val="Aptos Narrow"/>
        <color theme="1"/>
        <sz val="13.0"/>
      </rPr>
      <t xml:space="preserve">Providing and fixing of frameless partition with door glazing consisting of </t>
    </r>
    <r>
      <rPr>
        <rFont val="Aptos Narrow"/>
        <b/>
        <color theme="1"/>
        <sz val="13.0"/>
      </rPr>
      <t>12mm clear toughened</t>
    </r>
    <r>
      <rPr>
        <rFont val="Aptos Narrow"/>
        <color theme="1"/>
        <sz val="13.0"/>
      </rPr>
      <t xml:space="preserve"> along with  ceiling/bottom to glass connector , glass to glass connector , Pivot and etc, all the necessary fittings upto all height including </t>
    </r>
    <r>
      <rPr>
        <rFont val="Aptos Narrow"/>
        <b/>
        <color theme="1"/>
        <sz val="13.0"/>
      </rPr>
      <t xml:space="preserve">scaffolding &amp; Silicon Filling </t>
    </r>
    <r>
      <rPr>
        <rFont val="Aptos Narrow"/>
        <color theme="1"/>
        <sz val="13.0"/>
      </rPr>
      <t>all complete as shown in attached drawing.</t>
    </r>
    <r>
      <rPr>
        <rFont val="Aptos Narrow"/>
        <b/>
        <color theme="1"/>
        <sz val="13.0"/>
      </rPr>
      <t xml:space="preserve"> (Mode of measurement : rounded to the nearest higher value(Feet) if difference is 8". )</t>
    </r>
  </si>
  <si>
    <r>
      <rPr>
        <rFont val="Aptos Narrow"/>
        <color theme="1"/>
        <sz val="13.0"/>
      </rPr>
      <t>Glass should be of Saint gobain/ Modi seal &amp;</t>
    </r>
    <r>
      <rPr>
        <rFont val="Aptos Narrow"/>
        <b/>
        <color theme="1"/>
        <sz val="13.0"/>
      </rPr>
      <t xml:space="preserve"> Hardware should be of OZONE</t>
    </r>
  </si>
  <si>
    <t>Glass Door lock</t>
  </si>
  <si>
    <t>Glass Door Lock -2 sided</t>
  </si>
  <si>
    <t>Ozone</t>
  </si>
  <si>
    <t>No</t>
  </si>
  <si>
    <t>Toughend glass  Patches</t>
  </si>
  <si>
    <r>
      <rPr>
        <rFont val="Aptos Narrow"/>
        <color theme="1"/>
        <sz val="13.0"/>
      </rPr>
      <t>Providing and fixing of frameless partition Patches</t>
    </r>
    <r>
      <rPr>
        <rFont val="Aptos Narrow"/>
        <b/>
        <color theme="1"/>
        <sz val="13.0"/>
      </rPr>
      <t xml:space="preserve"> 4 - 6 inches</t>
    </r>
    <r>
      <rPr>
        <rFont val="Aptos Narrow"/>
        <color theme="1"/>
        <sz val="13.0"/>
      </rPr>
      <t xml:space="preserve">(Door patches top &amp; bottom) for toughened glass including all the necessary fittings.  </t>
    </r>
    <r>
      <rPr>
        <rFont val="Aptos Narrow"/>
        <b/>
        <color theme="1"/>
        <sz val="13.0"/>
      </rPr>
      <t xml:space="preserve"> OPF -2E or OPF-3E</t>
    </r>
  </si>
  <si>
    <t>No.</t>
  </si>
  <si>
    <t xml:space="preserve">Floor spring </t>
  </si>
  <si>
    <r>
      <rPr>
        <rFont val="Aptos Narrow"/>
        <color theme="1"/>
        <sz val="13.0"/>
      </rPr>
      <t xml:space="preserve">Strike plate of make </t>
    </r>
    <r>
      <rPr>
        <rFont val="Aptos Narrow"/>
        <b/>
        <color theme="1"/>
        <sz val="13.0"/>
      </rPr>
      <t>OZONE</t>
    </r>
    <r>
      <rPr>
        <rFont val="Aptos Narrow"/>
        <color theme="1"/>
        <sz val="13.0"/>
      </rPr>
      <t xml:space="preserve"> </t>
    </r>
    <r>
      <rPr>
        <rFont val="Aptos Narrow"/>
        <b/>
        <color theme="1"/>
        <sz val="13.0"/>
      </rPr>
      <t xml:space="preserve"> 8400 (Ozone)</t>
    </r>
    <r>
      <rPr>
        <rFont val="Aptos Narrow"/>
        <color theme="1"/>
        <sz val="13.0"/>
      </rPr>
      <t xml:space="preserve"> Lock with double cylinder, Pivot, Floor Spring </t>
    </r>
    <r>
      <rPr>
        <rFont val="Aptos Narrow"/>
        <b/>
        <color theme="1"/>
        <sz val="13.0"/>
      </rPr>
      <t>FS-8400 STD SSS</t>
    </r>
  </si>
  <si>
    <t>Door handle up to 2'</t>
  </si>
  <si>
    <r>
      <rPr>
        <rFont val="Aptos Narrow"/>
        <b/>
        <color theme="1"/>
        <sz val="13.0"/>
      </rPr>
      <t xml:space="preserve"> 600 mm</t>
    </r>
    <r>
      <rPr>
        <rFont val="Aptos Narrow"/>
        <color theme="1"/>
        <sz val="13.0"/>
      </rPr>
      <t xml:space="preserve"> ('O'/'H') type)</t>
    </r>
  </si>
  <si>
    <t>24/7 Door Hinges</t>
  </si>
  <si>
    <t>24/7 Door Hinges, OSSH-22ED (OZONE).</t>
  </si>
  <si>
    <t>24/7 Door Lock</t>
  </si>
  <si>
    <t>OPL-3A-STD SSS.</t>
  </si>
  <si>
    <t>Shutter boxing, Shutter Columns, AC supporting box</t>
  </si>
  <si>
    <t>Providing &amp; fixing as per site requirements, made of 18mm thick ISI rated commercial plywood board of approved make with 1mm thick green (Merino -22223 CARIBEE ) laminate visible sides  as specified and agreed with framing included (Shutter box to be for roller only and the mode of measurment is as per the profile of shutter box , For AC the elevation area to be considered). Note: Preferred make is Merino - 22223. Subjected to use with prior approval from H.O, Incase of Virgo-1067. The Price is 410 Rs Per SFT.</t>
  </si>
  <si>
    <t xml:space="preserve">Merino -22223 </t>
  </si>
  <si>
    <t>Window closing</t>
  </si>
  <si>
    <t>Providing &amp; fixing or closing the windows as per site requirements, made of 12 mm thick ISI rated commercial plywood board The rates shall be inclusive of all necessary hardwares etc.</t>
  </si>
  <si>
    <t>Ply wood</t>
  </si>
  <si>
    <t>Hanging Diaper Display Rods.</t>
  </si>
  <si>
    <r>
      <rPr>
        <rFont val="Aptos Narrow"/>
        <b val="0"/>
        <color theme="1"/>
        <sz val="13.0"/>
      </rPr>
      <t>Providing and Fixing Hanging Diaper Display</t>
    </r>
    <r>
      <rPr>
        <rFont val="Aptos Narrow"/>
        <b/>
        <color theme="1"/>
        <sz val="13.0"/>
      </rPr>
      <t xml:space="preserve"> Rods, Anchor Fastener </t>
    </r>
    <r>
      <rPr>
        <rFont val="Aptos Narrow"/>
        <b val="0"/>
        <color theme="1"/>
        <sz val="13.0"/>
      </rPr>
      <t xml:space="preserve">of </t>
    </r>
    <r>
      <rPr>
        <rFont val="Aptos Narrow"/>
        <b/>
        <color theme="1"/>
        <sz val="13.0"/>
      </rPr>
      <t>8mm thickness with 10mm Bolt thread fixing</t>
    </r>
    <r>
      <rPr>
        <rFont val="Aptos Narrow"/>
        <b val="0"/>
        <color theme="1"/>
        <sz val="13.0"/>
      </rPr>
      <t xml:space="preserve"> at downside.</t>
    </r>
  </si>
  <si>
    <t>Local</t>
  </si>
  <si>
    <t>Shutter centre lock</t>
  </si>
  <si>
    <r>
      <rPr>
        <rFont val="Aptos Narrow"/>
        <color theme="1"/>
        <sz val="13.0"/>
      </rPr>
      <t xml:space="preserve">Providing and fixing of </t>
    </r>
    <r>
      <rPr>
        <rFont val="Aptos Narrow"/>
        <b/>
        <color theme="1"/>
        <sz val="13.0"/>
      </rPr>
      <t>heavy duty</t>
    </r>
    <r>
      <rPr>
        <rFont val="Aptos Narrow"/>
        <color theme="1"/>
        <sz val="13.0"/>
      </rPr>
      <t xml:space="preserve"> center locks for the shutters</t>
    </r>
  </si>
  <si>
    <t>Shutter side lock</t>
  </si>
  <si>
    <r>
      <rPr>
        <rFont val="Aptos Narrow"/>
        <color theme="1"/>
        <sz val="13.0"/>
      </rPr>
      <t xml:space="preserve">Providing and fixing of </t>
    </r>
    <r>
      <rPr>
        <rFont val="Aptos Narrow"/>
        <b/>
        <color theme="1"/>
        <sz val="13.0"/>
      </rPr>
      <t>heavy duty</t>
    </r>
    <r>
      <rPr>
        <rFont val="Aptos Narrow"/>
        <color theme="1"/>
        <sz val="13.0"/>
      </rPr>
      <t xml:space="preserve"> side Pad locks for the shutters</t>
    </r>
  </si>
  <si>
    <t>Debris</t>
  </si>
  <si>
    <t>Removal of debris Including labour for loading &amp; Unloading, transport and cleaning</t>
  </si>
  <si>
    <t>Convenio / CDP</t>
  </si>
  <si>
    <t>Lumpsum</t>
  </si>
  <si>
    <t>Cleaning charges</t>
  </si>
  <si>
    <t>Cleaning the Outlet</t>
  </si>
  <si>
    <t>lumpsum</t>
  </si>
  <si>
    <t xml:space="preserve">Loading, unloading and cartage charges </t>
  </si>
  <si>
    <t>Loading, unloading and cartage charges for the glasses (LOCAL)</t>
  </si>
  <si>
    <t>Door Mat</t>
  </si>
  <si>
    <t xml:space="preserve">Grey Shade </t>
  </si>
  <si>
    <t>Shutter Greasing</t>
  </si>
  <si>
    <t>Greasing and Overhauling</t>
  </si>
  <si>
    <t>Dismantling</t>
  </si>
  <si>
    <t>Dismantling of existing false ceiling and Electrical fittings</t>
  </si>
  <si>
    <t>Door Repair and Refixing</t>
  </si>
  <si>
    <t>Repair and Refixing of Toilet door and Motor room and changes of necessary hardwares</t>
  </si>
  <si>
    <t>L-patch big</t>
  </si>
  <si>
    <t>OPF-1 STD SSS</t>
  </si>
  <si>
    <t>L-Patch Small</t>
  </si>
  <si>
    <t>OPF-610 STD SSS</t>
  </si>
  <si>
    <t>Door Pvc 12mm Profile</t>
  </si>
  <si>
    <t>Providing and Fixing 12 mm Glass Door PVC profile- 7 ft each</t>
  </si>
  <si>
    <t>local</t>
  </si>
  <si>
    <t>CIVIL TOTAL</t>
  </si>
  <si>
    <t>CIVIL SUB TOTAL</t>
  </si>
  <si>
    <t>TOTAL IGST 18%</t>
  </si>
  <si>
    <t>TOTAL GST 18%</t>
  </si>
  <si>
    <t>CIVIL GRAND TOTAL</t>
  </si>
  <si>
    <t>Rupees (In Words) : Three Lakhs Fifty One Thousand Eight Hundred Eighy Six Rupees and Ninety Two Paisa Only</t>
  </si>
  <si>
    <t>Bank Details</t>
  </si>
  <si>
    <t>Ceritified that the particulars given above are true and correct</t>
  </si>
  <si>
    <t>Bank Name and A/C No. : HDFC BANK , 50200073035859</t>
  </si>
  <si>
    <t>For I FOUR U ENGINEERING SERVICES</t>
  </si>
  <si>
    <t xml:space="preserve">Bank IFSC and Address : HDFC0002679 , Sri Ram City Saraidhela, 828127 </t>
  </si>
  <si>
    <t>Terms and Conditions</t>
  </si>
  <si>
    <t>Common Seal</t>
  </si>
  <si>
    <t>Authorised Signatory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</si>
</sst>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_ &quot;₹&quot;\ * #,##0.00_ ;_ &quot;₹&quot;\ * \-#,##0.00_ ;_ &quot;₹&quot;\ * &quot;-&quot;??_ ;_ @_ "/>
  </numFmts>
  <fonts count="25">
    <font>
      <sz val="10.0"/>
      <color rgb="FF000000"/>
      <name val="Arial"/>
      <scheme val="minor"/>
    </font>
    <font>
      <sz val="10.0"/>
      <color theme="1"/>
      <name val="Arial"/>
    </font>
    <font>
      <b/>
      <sz val="20.0"/>
      <color theme="1"/>
      <name val="Bookman Old Style"/>
    </font>
    <font>
      <b/>
      <sz val="11.0"/>
      <color theme="1"/>
      <name val="Bookman Old Style"/>
    </font>
    <font>
      <b/>
      <sz val="12.0"/>
      <color theme="1"/>
      <name val="Bookman Old Style"/>
    </font>
    <font>
      <b/>
      <sz val="10.0"/>
      <color theme="1"/>
      <name val="Bookman Old Style"/>
    </font>
    <font>
      <b/>
      <sz val="12.0"/>
      <color theme="1"/>
      <name val="Calibri"/>
    </font>
    <font>
      <b/>
      <sz val="12.0"/>
      <color rgb="FF0E2841"/>
      <name val="Aptos Narrow"/>
    </font>
    <font>
      <b/>
      <sz val="12.0"/>
      <color rgb="FF0E2841"/>
      <name val="Arial"/>
    </font>
    <font>
      <b/>
      <sz val="12.0"/>
      <color theme="1"/>
      <name val="Arial"/>
    </font>
    <font>
      <b/>
      <sz val="11.0"/>
      <color theme="1"/>
      <name val="Arial"/>
    </font>
    <font>
      <b/>
      <sz val="11.0"/>
      <color theme="1"/>
      <name val="Aptos Narrow"/>
    </font>
    <font>
      <sz val="11.0"/>
      <color theme="1"/>
      <name val="Aptos Narrow"/>
    </font>
    <font>
      <sz val="13.0"/>
      <color theme="1"/>
      <name val="Arial"/>
    </font>
    <font>
      <sz val="13.0"/>
      <color theme="1"/>
      <name val="Aptos Narrow"/>
    </font>
    <font>
      <sz val="10.0"/>
      <color theme="1"/>
      <name val="Aptos Narrow"/>
    </font>
    <font>
      <b/>
      <sz val="13.0"/>
      <color theme="1"/>
      <name val="Aptos Narrow"/>
    </font>
    <font>
      <b/>
      <sz val="13.0"/>
      <color theme="1"/>
      <name val="Arial"/>
    </font>
    <font>
      <b/>
      <sz val="14.0"/>
      <color theme="1"/>
      <name val="Arial"/>
    </font>
    <font>
      <b/>
      <sz val="15.0"/>
      <color theme="1"/>
      <name val="Arial"/>
    </font>
    <font>
      <sz val="14.0"/>
      <color theme="1"/>
      <name val="Arial"/>
    </font>
    <font/>
    <font>
      <sz val="9.0"/>
      <color theme="1"/>
      <name val="Calibri"/>
    </font>
    <font>
      <b/>
      <sz val="15.0"/>
      <color theme="1"/>
      <name val="Calibri"/>
    </font>
    <font>
      <b/>
      <sz val="14.0"/>
      <color theme="1"/>
      <name val="Calibri"/>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ADB9CA"/>
        <bgColor rgb="FFADB9CA"/>
      </patternFill>
    </fill>
  </fills>
  <borders count="52">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top style="medium">
        <color rgb="FF000000"/>
      </top>
    </border>
    <border>
      <right style="medium">
        <color rgb="FF000000"/>
      </right>
      <top style="medium">
        <color rgb="FF000000"/>
      </top>
    </border>
    <border>
      <left style="medium">
        <color rgb="FF000000"/>
      </left>
      <top style="medium">
        <color rgb="FF000000"/>
      </top>
    </border>
    <border>
      <top style="medium">
        <color rgb="FF000000"/>
      </top>
    </border>
    <border>
      <right style="thick">
        <color rgb="FF000000"/>
      </right>
      <top style="medium">
        <color rgb="FF000000"/>
      </top>
    </border>
    <border>
      <right style="medium">
        <color rgb="FF000000"/>
      </right>
    </border>
    <border>
      <left style="medium">
        <color rgb="FF000000"/>
      </left>
    </border>
    <border>
      <left style="thick">
        <color rgb="FF000000"/>
      </left>
      <bottom style="medium">
        <color rgb="FF000000"/>
      </bottom>
    </border>
    <border>
      <right style="medium">
        <color rgb="FF000000"/>
      </right>
      <bottom style="medium">
        <color rgb="FF000000"/>
      </bottom>
    </border>
    <border>
      <left style="medium">
        <color rgb="FF000000"/>
      </left>
      <bottom style="medium">
        <color rgb="FF000000"/>
      </bottom>
    </border>
    <border>
      <bottom style="medium">
        <color rgb="FF000000"/>
      </bottom>
    </border>
    <border>
      <right style="thick">
        <color rgb="FF000000"/>
      </right>
      <bottom style="medium">
        <color rgb="FF000000"/>
      </bottom>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style="medium">
        <color rgb="FF000000"/>
      </left>
      <right style="medium">
        <color rgb="FF000000"/>
      </right>
    </border>
    <border>
      <left style="medium">
        <color rgb="FF000000"/>
      </left>
      <right/>
      <top/>
      <bottom/>
    </border>
    <border>
      <left style="medium">
        <color rgb="FF000000"/>
      </left>
      <top style="medium">
        <color rgb="FF000000"/>
      </top>
      <bottom style="medium">
        <color rgb="FF000000"/>
      </bottom>
    </border>
    <border>
      <left style="thick">
        <color rgb="FF000000"/>
      </left>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ck">
        <color rgb="FF000000"/>
      </right>
      <top style="thin">
        <color rgb="FF000000"/>
      </top>
    </border>
    <border>
      <top style="medium">
        <color rgb="FF000000"/>
      </top>
      <bottom style="medium">
        <color rgb="FF000000"/>
      </bottom>
    </border>
    <border>
      <right style="thick">
        <color rgb="FF000000"/>
      </right>
      <top style="medium">
        <color rgb="FF000000"/>
      </top>
      <bottom style="medium">
        <color rgb="FF000000"/>
      </bottom>
    </border>
    <border>
      <left style="medium">
        <color rgb="FF000000"/>
      </left>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ck">
        <color rgb="FF000000"/>
      </bottom>
    </border>
    <border>
      <right style="medium">
        <color rgb="FF000000"/>
      </right>
      <bottom style="thick">
        <color rgb="FF000000"/>
      </bottom>
    </border>
    <border>
      <left style="medium">
        <color rgb="FF000000"/>
      </left>
      <right style="medium">
        <color rgb="FF000000"/>
      </right>
      <bottom style="thick">
        <color rgb="FF000000"/>
      </bottom>
    </border>
    <border>
      <left style="medium">
        <color rgb="FF000000"/>
      </lef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top style="medium">
        <color rgb="FF000000"/>
      </top>
      <bottom style="thick">
        <color rgb="FF000000"/>
      </bottom>
    </border>
    <border>
      <top style="medium">
        <color rgb="FF000000"/>
      </top>
      <bottom style="thick">
        <color rgb="FF000000"/>
      </bottom>
    </border>
    <border>
      <right style="thick">
        <color rgb="FF000000"/>
      </right>
      <top style="medium">
        <color rgb="FF000000"/>
      </top>
      <bottom style="thick">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2" fillId="0" fontId="1" numFmtId="0" xfId="0" applyBorder="1" applyFont="1"/>
    <xf borderId="3" fillId="0" fontId="1" numFmtId="0" xfId="0" applyBorder="1" applyFont="1"/>
    <xf borderId="4" fillId="0" fontId="1" numFmtId="0" xfId="0" applyBorder="1" applyFont="1"/>
    <xf borderId="0" fillId="0" fontId="3" numFmtId="0" xfId="0" applyAlignment="1" applyFont="1">
      <alignment shrinkToFit="0" wrapText="1"/>
    </xf>
    <xf borderId="5" fillId="0" fontId="1" numFmtId="0" xfId="0" applyBorder="1" applyFont="1"/>
    <xf borderId="4" fillId="0" fontId="4" numFmtId="0" xfId="0" applyAlignment="1" applyBorder="1" applyFont="1">
      <alignment horizontal="center"/>
    </xf>
    <xf borderId="4" fillId="0" fontId="4" numFmtId="0" xfId="0" applyBorder="1" applyFont="1"/>
    <xf borderId="4" fillId="0" fontId="5" numFmtId="0" xfId="0" applyAlignment="1" applyBorder="1" applyFont="1">
      <alignment horizontal="center"/>
    </xf>
    <xf borderId="6" fillId="0" fontId="4" numFmtId="0" xfId="0" applyAlignment="1" applyBorder="1" applyFont="1">
      <alignment horizontal="left"/>
    </xf>
    <xf borderId="7" fillId="0" fontId="4" numFmtId="0" xfId="0" applyAlignment="1" applyBorder="1" applyFont="1">
      <alignment horizontal="left"/>
    </xf>
    <xf borderId="0" fillId="0" fontId="2" numFmtId="0" xfId="0" applyAlignment="1" applyFont="1">
      <alignment horizontal="center"/>
    </xf>
    <xf borderId="8" fillId="0" fontId="5" numFmtId="0" xfId="0" applyBorder="1" applyFont="1"/>
    <xf borderId="9" fillId="0" fontId="1" numFmtId="0" xfId="0" applyBorder="1" applyFont="1"/>
    <xf borderId="9" fillId="0" fontId="3" numFmtId="0" xfId="0" applyBorder="1" applyFont="1"/>
    <xf borderId="10" fillId="0" fontId="1" numFmtId="0" xfId="0" applyBorder="1" applyFont="1"/>
    <xf borderId="11" fillId="0" fontId="4" numFmtId="0" xfId="0" applyBorder="1" applyFont="1"/>
    <xf borderId="12" fillId="0" fontId="5" numFmtId="0" xfId="0" applyBorder="1" applyFont="1"/>
    <xf borderId="0" fillId="0" fontId="3" numFmtId="0" xfId="0" applyFont="1"/>
    <xf borderId="4" fillId="0" fontId="4" numFmtId="0" xfId="0" applyAlignment="1" applyBorder="1" applyFont="1">
      <alignment horizontal="left"/>
    </xf>
    <xf borderId="11" fillId="0" fontId="1" numFmtId="0" xfId="0" applyBorder="1" applyFont="1"/>
    <xf borderId="0" fillId="0" fontId="3" numFmtId="164" xfId="0" applyAlignment="1" applyFont="1" applyNumberFormat="1">
      <alignment horizontal="center"/>
    </xf>
    <xf borderId="13" fillId="0" fontId="5" numFmtId="0" xfId="0" applyAlignment="1" applyBorder="1" applyFont="1">
      <alignment horizontal="center"/>
    </xf>
    <xf borderId="14" fillId="0" fontId="4" numFmtId="164" xfId="0" applyAlignment="1" applyBorder="1" applyFont="1" applyNumberFormat="1">
      <alignment horizontal="center"/>
    </xf>
    <xf borderId="15" fillId="0" fontId="5" numFmtId="0" xfId="0" applyBorder="1" applyFont="1"/>
    <xf borderId="16" fillId="0" fontId="1" numFmtId="0" xfId="0" applyBorder="1" applyFont="1"/>
    <xf borderId="16" fillId="0" fontId="3" numFmtId="0" xfId="0" applyBorder="1" applyFont="1"/>
    <xf borderId="17" fillId="0" fontId="1" numFmtId="0" xfId="0" applyBorder="1" applyFont="1"/>
    <xf borderId="4" fillId="0" fontId="2" numFmtId="0" xfId="0" applyAlignment="1" applyBorder="1" applyFont="1">
      <alignment horizontal="center"/>
    </xf>
    <xf borderId="0" fillId="0" fontId="5" numFmtId="0" xfId="0" applyFont="1"/>
    <xf borderId="0" fillId="0" fontId="2" numFmtId="0" xfId="0" applyFont="1"/>
    <xf borderId="18" fillId="0" fontId="4" numFmtId="0" xfId="0" applyBorder="1" applyFont="1"/>
    <xf borderId="19" fillId="0" fontId="1" numFmtId="0" xfId="0" applyBorder="1" applyFont="1"/>
    <xf borderId="8" fillId="0" fontId="4" numFmtId="0" xfId="0" applyBorder="1" applyFont="1"/>
    <xf borderId="20" fillId="0" fontId="6" numFmtId="0" xfId="0" applyAlignment="1" applyBorder="1" applyFont="1">
      <alignment horizontal="left"/>
    </xf>
    <xf borderId="8" fillId="0" fontId="4" numFmtId="0" xfId="0" applyAlignment="1" applyBorder="1" applyFont="1">
      <alignment horizontal="center"/>
    </xf>
    <xf borderId="21" fillId="2" fontId="7" numFmtId="0" xfId="0" applyAlignment="1" applyBorder="1" applyFill="1" applyFont="1">
      <alignment vertical="top"/>
    </xf>
    <xf borderId="22" fillId="0" fontId="6" numFmtId="0" xfId="0" applyAlignment="1" applyBorder="1" applyFont="1">
      <alignment shrinkToFit="0" wrapText="1"/>
    </xf>
    <xf borderId="12" fillId="0" fontId="4" numFmtId="0" xfId="0" applyAlignment="1" applyBorder="1" applyFont="1">
      <alignment horizontal="center"/>
    </xf>
    <xf borderId="23" fillId="3" fontId="8" numFmtId="49" xfId="0" applyAlignment="1" applyBorder="1" applyFill="1" applyFont="1" applyNumberFormat="1">
      <alignment horizontal="left" shrinkToFit="0" vertical="center" wrapText="1"/>
    </xf>
    <xf borderId="22" fillId="0" fontId="1" numFmtId="0" xfId="0" applyBorder="1" applyFont="1"/>
    <xf borderId="12" fillId="0" fontId="1" numFmtId="0" xfId="0" applyBorder="1" applyFont="1"/>
    <xf borderId="22" fillId="0" fontId="9" numFmtId="0" xfId="0" applyAlignment="1" applyBorder="1" applyFont="1">
      <alignment horizontal="left"/>
    </xf>
    <xf borderId="12" fillId="0" fontId="9" numFmtId="0" xfId="0" applyBorder="1" applyFont="1"/>
    <xf borderId="22" fillId="0" fontId="4" numFmtId="0" xfId="0" applyAlignment="1" applyBorder="1" applyFont="1">
      <alignment horizontal="left"/>
    </xf>
    <xf borderId="12" fillId="0" fontId="4" numFmtId="0" xfId="0" applyAlignment="1" applyBorder="1" applyFont="1">
      <alignment horizontal="left"/>
    </xf>
    <xf borderId="22" fillId="0" fontId="6" numFmtId="0" xfId="0" applyAlignment="1" applyBorder="1" applyFont="1">
      <alignment horizontal="left"/>
    </xf>
    <xf borderId="15" fillId="0" fontId="4" numFmtId="0" xfId="0" applyAlignment="1" applyBorder="1" applyFont="1">
      <alignment horizontal="center"/>
    </xf>
    <xf borderId="15" fillId="0" fontId="6" numFmtId="0" xfId="0" applyBorder="1" applyFont="1"/>
    <xf borderId="24" fillId="0" fontId="4" numFmtId="0" xfId="0" applyBorder="1" applyFont="1"/>
    <xf borderId="5" fillId="0" fontId="2" numFmtId="0" xfId="0" applyAlignment="1" applyBorder="1" applyFont="1">
      <alignment horizontal="center"/>
    </xf>
    <xf borderId="25" fillId="0" fontId="10" numFmtId="0" xfId="0" applyAlignment="1" applyBorder="1" applyFont="1">
      <alignment horizontal="center" shrinkToFit="0" wrapText="1"/>
    </xf>
    <xf borderId="26" fillId="0" fontId="11" numFmtId="0" xfId="0" applyAlignment="1" applyBorder="1" applyFont="1">
      <alignment horizontal="center" shrinkToFit="0" wrapText="1"/>
    </xf>
    <xf borderId="27" fillId="0" fontId="11" numFmtId="0" xfId="0" applyAlignment="1" applyBorder="1" applyFont="1">
      <alignment horizontal="center" shrinkToFit="0" wrapText="1"/>
    </xf>
    <xf borderId="27" fillId="0" fontId="10" numFmtId="0" xfId="0" applyAlignment="1" applyBorder="1" applyFont="1">
      <alignment horizontal="center" shrinkToFit="0" wrapText="1"/>
    </xf>
    <xf borderId="27" fillId="0" fontId="11" numFmtId="0" xfId="0" applyAlignment="1" applyBorder="1" applyFont="1">
      <alignment horizontal="center"/>
    </xf>
    <xf borderId="28" fillId="0" fontId="11" numFmtId="0" xfId="0" applyAlignment="1" applyBorder="1" applyFont="1">
      <alignment horizontal="center"/>
    </xf>
    <xf borderId="25" fillId="0" fontId="9" numFmtId="0" xfId="0" applyAlignment="1" applyBorder="1" applyFont="1">
      <alignment horizontal="center" shrinkToFit="0" wrapText="1"/>
    </xf>
    <xf borderId="26" fillId="0" fontId="9" numFmtId="0" xfId="0" applyAlignment="1" applyBorder="1" applyFont="1">
      <alignment horizontal="center" shrinkToFit="0" wrapText="1"/>
    </xf>
    <xf borderId="27" fillId="0" fontId="12" numFmtId="0" xfId="0" applyBorder="1" applyFont="1"/>
    <xf borderId="28" fillId="0" fontId="12" numFmtId="0" xfId="0" applyBorder="1" applyFont="1"/>
    <xf borderId="25" fillId="0" fontId="13" numFmtId="0" xfId="0" applyAlignment="1" applyBorder="1" applyFont="1">
      <alignment horizontal="center" shrinkToFit="0" wrapText="1"/>
    </xf>
    <xf borderId="26" fillId="0" fontId="14" numFmtId="0" xfId="0" applyAlignment="1" applyBorder="1" applyFont="1">
      <alignment horizontal="center" shrinkToFit="0" wrapText="1"/>
    </xf>
    <xf borderId="27" fillId="0" fontId="14" numFmtId="0" xfId="0" applyAlignment="1" applyBorder="1" applyFont="1">
      <alignment shrinkToFit="0" wrapText="1"/>
    </xf>
    <xf borderId="27" fillId="0" fontId="13" numFmtId="0" xfId="0" applyAlignment="1" applyBorder="1" applyFont="1">
      <alignment horizontal="center" shrinkToFit="0" wrapText="1"/>
    </xf>
    <xf borderId="27" fillId="0" fontId="14" numFmtId="0" xfId="0" applyAlignment="1" applyBorder="1" applyFont="1">
      <alignment horizontal="center" shrinkToFit="0" wrapText="1"/>
    </xf>
    <xf borderId="27" fillId="0" fontId="14" numFmtId="0" xfId="0" applyAlignment="1" applyBorder="1" applyFont="1">
      <alignment horizontal="center"/>
    </xf>
    <xf borderId="27" fillId="0" fontId="13" numFmtId="0" xfId="0" applyAlignment="1" applyBorder="1" applyFont="1">
      <alignment horizontal="center"/>
    </xf>
    <xf borderId="28" fillId="0" fontId="14" numFmtId="165" xfId="0" applyAlignment="1" applyBorder="1" applyFont="1" applyNumberFormat="1">
      <alignment horizontal="center"/>
    </xf>
    <xf borderId="27" fillId="0" fontId="15" numFmtId="0" xfId="0" applyAlignment="1" applyBorder="1" applyFont="1">
      <alignment horizontal="center" shrinkToFit="0" wrapText="1"/>
    </xf>
    <xf borderId="26" fillId="0" fontId="14" numFmtId="0" xfId="0" applyAlignment="1" applyBorder="1" applyFont="1">
      <alignment horizontal="center"/>
    </xf>
    <xf borderId="27" fillId="0" fontId="14" numFmtId="0" xfId="0" applyBorder="1" applyFont="1"/>
    <xf borderId="27" fillId="0" fontId="16" numFmtId="0" xfId="0" applyBorder="1" applyFont="1"/>
    <xf borderId="27" fillId="0" fontId="16" numFmtId="0" xfId="0" applyAlignment="1" applyBorder="1" applyFont="1">
      <alignment shrinkToFit="0" wrapText="1"/>
    </xf>
    <xf borderId="27" fillId="0" fontId="16" numFmtId="0" xfId="0" applyAlignment="1" applyBorder="1" applyFont="1">
      <alignment horizontal="center" shrinkToFit="0" wrapText="1"/>
    </xf>
    <xf borderId="29" fillId="3" fontId="14" numFmtId="0" xfId="0" applyAlignment="1" applyBorder="1" applyFont="1">
      <alignment horizontal="center" shrinkToFit="0" wrapText="1"/>
    </xf>
    <xf borderId="27" fillId="3" fontId="14" numFmtId="0" xfId="0" applyAlignment="1" applyBorder="1" applyFont="1">
      <alignment shrinkToFit="0" wrapText="1"/>
    </xf>
    <xf borderId="27" fillId="3" fontId="14" numFmtId="0" xfId="0" applyBorder="1" applyFont="1"/>
    <xf borderId="27" fillId="3" fontId="14" numFmtId="0" xfId="0" applyAlignment="1" applyBorder="1" applyFont="1">
      <alignment horizontal="center"/>
    </xf>
    <xf borderId="28" fillId="3" fontId="14" numFmtId="165" xfId="0" applyAlignment="1" applyBorder="1" applyFont="1" applyNumberFormat="1">
      <alignment horizontal="center"/>
    </xf>
    <xf borderId="27" fillId="3" fontId="13" numFmtId="0" xfId="0" applyAlignment="1" applyBorder="1" applyFont="1">
      <alignment horizontal="center"/>
    </xf>
    <xf borderId="27" fillId="0" fontId="14" numFmtId="0" xfId="0" applyAlignment="1" applyBorder="1" applyFont="1">
      <alignment horizontal="left" vertical="center"/>
    </xf>
    <xf borderId="4" fillId="0" fontId="14" numFmtId="0" xfId="0" applyBorder="1" applyFont="1"/>
    <xf borderId="30" fillId="0" fontId="14" numFmtId="0" xfId="0" applyBorder="1" applyFont="1"/>
    <xf borderId="31" fillId="0" fontId="16" numFmtId="0" xfId="0" applyBorder="1" applyFont="1"/>
    <xf borderId="32" fillId="0" fontId="1" numFmtId="0" xfId="0" applyBorder="1" applyFont="1"/>
    <xf borderId="26" fillId="0" fontId="1" numFmtId="0" xfId="0" applyBorder="1" applyFont="1"/>
    <xf borderId="27" fillId="0" fontId="16" numFmtId="0" xfId="0" applyAlignment="1" applyBorder="1" applyFont="1">
      <alignment horizontal="right" shrinkToFit="0" wrapText="1"/>
    </xf>
    <xf borderId="31" fillId="0" fontId="16" numFmtId="0" xfId="0" applyAlignment="1" applyBorder="1" applyFont="1">
      <alignment shrinkToFit="0" wrapText="1"/>
    </xf>
    <xf borderId="28" fillId="0" fontId="14" numFmtId="165" xfId="0" applyBorder="1" applyFont="1" applyNumberFormat="1"/>
    <xf borderId="31" fillId="0" fontId="17" numFmtId="0" xfId="0" applyBorder="1" applyFont="1"/>
    <xf borderId="33" fillId="0" fontId="14" numFmtId="0" xfId="0" applyBorder="1" applyFont="1"/>
    <xf borderId="34" fillId="0" fontId="14" numFmtId="0" xfId="0" applyBorder="1" applyFont="1"/>
    <xf borderId="35" fillId="0" fontId="16" numFmtId="0" xfId="0" applyBorder="1" applyFont="1"/>
    <xf borderId="36" fillId="0" fontId="1" numFmtId="0" xfId="0" applyBorder="1" applyFont="1"/>
    <xf borderId="37" fillId="0" fontId="1" numFmtId="0" xfId="0" applyBorder="1" applyFont="1"/>
    <xf borderId="38" fillId="0" fontId="16" numFmtId="165" xfId="0" applyAlignment="1" applyBorder="1" applyFont="1" applyNumberFormat="1">
      <alignment horizontal="center"/>
    </xf>
    <xf borderId="4" fillId="0" fontId="18" numFmtId="0" xfId="0" applyBorder="1" applyFont="1"/>
    <xf borderId="18" fillId="0" fontId="9" numFmtId="0" xfId="0" applyBorder="1" applyFont="1"/>
    <xf borderId="39" fillId="0" fontId="1" numFmtId="0" xfId="0" applyBorder="1" applyFont="1"/>
    <xf borderId="40" fillId="0" fontId="1" numFmtId="0" xfId="0" applyBorder="1" applyFont="1"/>
    <xf borderId="18" fillId="0" fontId="18" numFmtId="0" xfId="0" applyBorder="1" applyFont="1"/>
    <xf borderId="4" fillId="0" fontId="18" numFmtId="0" xfId="0" applyAlignment="1" applyBorder="1" applyFont="1">
      <alignment horizontal="center"/>
    </xf>
    <xf borderId="18" fillId="0" fontId="19" numFmtId="0" xfId="0" applyBorder="1" applyFont="1"/>
    <xf borderId="20" fillId="0" fontId="20" numFmtId="0" xfId="0" applyBorder="1" applyFont="1"/>
    <xf borderId="8" fillId="0" fontId="20" numFmtId="0" xfId="0" applyBorder="1" applyFont="1"/>
    <xf borderId="7" fillId="0" fontId="21" numFmtId="0" xfId="0" applyBorder="1" applyFont="1"/>
    <xf borderId="8" fillId="0" fontId="22" numFmtId="0" xfId="0" applyBorder="1" applyFont="1"/>
    <xf borderId="4" fillId="0" fontId="23" numFmtId="0" xfId="0" applyBorder="1" applyFont="1"/>
    <xf borderId="22" fillId="0" fontId="20" numFmtId="0" xfId="0" applyBorder="1" applyFont="1"/>
    <xf borderId="12" fillId="0" fontId="21" numFmtId="0" xfId="0" applyBorder="1" applyFont="1"/>
    <xf borderId="11" fillId="0" fontId="21" numFmtId="0" xfId="0" applyBorder="1" applyFont="1"/>
    <xf borderId="41" fillId="4" fontId="24" numFmtId="0" xfId="0" applyBorder="1" applyFill="1" applyFont="1"/>
    <xf borderId="42" fillId="0" fontId="1" numFmtId="0" xfId="0" applyBorder="1" applyFont="1"/>
    <xf borderId="43" fillId="0" fontId="1" numFmtId="0" xfId="0" applyBorder="1" applyFont="1"/>
    <xf borderId="12" fillId="0" fontId="24" numFmtId="0" xfId="0" applyBorder="1" applyFont="1"/>
    <xf borderId="5" fillId="0" fontId="21" numFmtId="0" xfId="0" applyBorder="1" applyFont="1"/>
    <xf borderId="4" fillId="0" fontId="23" numFmtId="0" xfId="0" applyAlignment="1" applyBorder="1" applyFont="1">
      <alignment horizontal="center" vertical="top"/>
    </xf>
    <xf borderId="4" fillId="0" fontId="23" numFmtId="0" xfId="0" applyAlignment="1" applyBorder="1" applyFont="1">
      <alignment vertical="top"/>
    </xf>
    <xf borderId="44" fillId="0" fontId="23" numFmtId="0" xfId="0" applyAlignment="1" applyBorder="1" applyFont="1">
      <alignment horizontal="center" vertical="top"/>
    </xf>
    <xf borderId="44" fillId="0" fontId="1" numFmtId="0" xfId="0" applyBorder="1" applyFont="1"/>
    <xf borderId="45" fillId="0" fontId="1" numFmtId="0" xfId="0" applyBorder="1" applyFont="1"/>
    <xf borderId="46" fillId="0" fontId="24" numFmtId="0" xfId="0" applyAlignment="1" applyBorder="1" applyFont="1">
      <alignment horizontal="center" vertical="top"/>
    </xf>
    <xf borderId="47" fillId="0" fontId="24" numFmtId="0" xfId="0" applyAlignment="1" applyBorder="1" applyFont="1">
      <alignment vertical="top"/>
    </xf>
    <xf borderId="48" fillId="0" fontId="1" numFmtId="0" xfId="0" applyBorder="1" applyFont="1"/>
    <xf borderId="49" fillId="4" fontId="24" numFmtId="0" xfId="0" applyBorder="1" applyFont="1"/>
    <xf borderId="50" fillId="0" fontId="1" numFmtId="0" xfId="0" applyBorder="1" applyFont="1"/>
    <xf borderId="51" fillId="0" fontId="1" numFmtId="0" xfId="0" applyBorder="1" applyFont="1"/>
    <xf borderId="0" fillId="0" fontId="6"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xdr:row>
      <xdr:rowOff>38100</xdr:rowOff>
    </xdr:from>
    <xdr:ext cx="2400300" cy="11049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63"/>
    <col customWidth="1" min="2" max="2" width="33.25"/>
    <col customWidth="1" min="3" max="3" width="53.38"/>
    <col customWidth="1" min="4" max="4" width="10.5"/>
    <col customWidth="1" min="5" max="5" width="12.25"/>
    <col customWidth="1" min="6" max="6" width="21.25"/>
    <col customWidth="1" min="7" max="7" width="16.13"/>
    <col customWidth="1" min="8" max="8" width="12.0"/>
    <col customWidth="1" min="9" max="9" width="15.88"/>
  </cols>
  <sheetData>
    <row r="1" ht="6.0" customHeight="1"/>
    <row r="2" ht="34.5" customHeight="1">
      <c r="A2" s="1"/>
      <c r="B2" s="1"/>
      <c r="C2" s="2" t="s">
        <v>0</v>
      </c>
      <c r="D2" s="3"/>
      <c r="E2" s="3"/>
      <c r="F2" s="3"/>
      <c r="G2" s="3"/>
      <c r="H2" s="3"/>
      <c r="I2" s="4"/>
    </row>
    <row r="3" ht="55.5" customHeight="1">
      <c r="A3" s="5"/>
      <c r="B3" s="5"/>
      <c r="C3" s="6" t="s">
        <v>1</v>
      </c>
      <c r="I3" s="7"/>
    </row>
    <row r="4" ht="15.75" customHeight="1">
      <c r="A4" s="8"/>
      <c r="B4" s="9" t="s">
        <v>2</v>
      </c>
      <c r="I4" s="7"/>
    </row>
    <row r="5" ht="15.75" customHeight="1">
      <c r="A5" s="10"/>
      <c r="B5" s="11" t="s">
        <v>3</v>
      </c>
      <c r="C5" s="12" t="s">
        <v>4</v>
      </c>
      <c r="D5" s="13"/>
      <c r="E5" s="14" t="s">
        <v>5</v>
      </c>
      <c r="F5" s="15"/>
      <c r="G5" s="16" t="s">
        <v>6</v>
      </c>
      <c r="H5" s="15"/>
      <c r="I5" s="17"/>
    </row>
    <row r="6" ht="15.75" customHeight="1">
      <c r="A6" s="8"/>
      <c r="B6" s="8" t="s">
        <v>7</v>
      </c>
      <c r="C6" s="18" t="s">
        <v>8</v>
      </c>
      <c r="D6" s="13"/>
      <c r="E6" s="19" t="s">
        <v>9</v>
      </c>
      <c r="G6" s="20" t="s">
        <v>10</v>
      </c>
      <c r="I6" s="7"/>
    </row>
    <row r="7" ht="15.75" customHeight="1">
      <c r="A7" s="21"/>
      <c r="B7" s="9" t="s">
        <v>11</v>
      </c>
      <c r="C7" s="22"/>
      <c r="D7" s="13"/>
      <c r="E7" s="19" t="s">
        <v>12</v>
      </c>
      <c r="G7" s="23">
        <v>45568.0</v>
      </c>
      <c r="I7" s="7"/>
    </row>
    <row r="8" ht="15.75" customHeight="1">
      <c r="A8" s="10"/>
      <c r="B8" s="24" t="s">
        <v>13</v>
      </c>
      <c r="C8" s="25">
        <v>45568.0</v>
      </c>
      <c r="D8" s="13"/>
      <c r="E8" s="26" t="s">
        <v>14</v>
      </c>
      <c r="F8" s="27"/>
      <c r="G8" s="28" t="s">
        <v>15</v>
      </c>
      <c r="H8" s="27"/>
      <c r="I8" s="29"/>
    </row>
    <row r="9" ht="15.75" customHeight="1">
      <c r="A9" s="30"/>
      <c r="B9" s="30"/>
      <c r="C9" s="13"/>
      <c r="D9" s="13"/>
      <c r="E9" s="31"/>
      <c r="G9" s="32"/>
      <c r="I9" s="7"/>
    </row>
    <row r="10" ht="15.75" customHeight="1">
      <c r="A10" s="21"/>
      <c r="B10" s="33" t="s">
        <v>16</v>
      </c>
      <c r="C10" s="34"/>
      <c r="D10" s="13"/>
      <c r="E10" s="35" t="s">
        <v>17</v>
      </c>
      <c r="F10" s="15"/>
      <c r="G10" s="15"/>
      <c r="H10" s="15"/>
      <c r="I10" s="17"/>
    </row>
    <row r="11" ht="15.75" customHeight="1">
      <c r="A11" s="8"/>
      <c r="B11" s="8" t="s">
        <v>18</v>
      </c>
      <c r="C11" s="36" t="s">
        <v>19</v>
      </c>
      <c r="D11" s="13"/>
      <c r="E11" s="37" t="s">
        <v>18</v>
      </c>
      <c r="F11" s="38" t="s">
        <v>20</v>
      </c>
      <c r="G11" s="15"/>
      <c r="H11" s="15"/>
      <c r="I11" s="17"/>
    </row>
    <row r="12" ht="45.0" customHeight="1">
      <c r="A12" s="8"/>
      <c r="B12" s="8" t="s">
        <v>21</v>
      </c>
      <c r="C12" s="39" t="s">
        <v>22</v>
      </c>
      <c r="D12" s="13"/>
      <c r="E12" s="40" t="s">
        <v>21</v>
      </c>
      <c r="F12" s="41" t="s">
        <v>23</v>
      </c>
      <c r="I12" s="7"/>
    </row>
    <row r="13" ht="15.75" customHeight="1">
      <c r="A13" s="8"/>
      <c r="B13" s="8"/>
      <c r="C13" s="42"/>
      <c r="D13" s="13"/>
      <c r="E13" s="40"/>
      <c r="F13" s="43"/>
      <c r="I13" s="7"/>
    </row>
    <row r="14" ht="15.75" customHeight="1">
      <c r="A14" s="8"/>
      <c r="B14" s="8" t="s">
        <v>24</v>
      </c>
      <c r="C14" s="44" t="s">
        <v>25</v>
      </c>
      <c r="D14" s="13"/>
      <c r="E14" s="40" t="s">
        <v>24</v>
      </c>
      <c r="F14" s="45" t="s">
        <v>25</v>
      </c>
      <c r="I14" s="7"/>
    </row>
    <row r="15" ht="15.75" customHeight="1">
      <c r="A15" s="8"/>
      <c r="B15" s="8" t="s">
        <v>26</v>
      </c>
      <c r="C15" s="46">
        <v>19.0</v>
      </c>
      <c r="D15" s="13"/>
      <c r="E15" s="40" t="s">
        <v>26</v>
      </c>
      <c r="F15" s="47">
        <v>19.0</v>
      </c>
      <c r="I15" s="7"/>
    </row>
    <row r="16" ht="15.75" customHeight="1">
      <c r="A16" s="8"/>
      <c r="B16" s="8" t="s">
        <v>27</v>
      </c>
      <c r="C16" s="48" t="s">
        <v>28</v>
      </c>
      <c r="D16" s="13"/>
      <c r="E16" s="49" t="s">
        <v>27</v>
      </c>
      <c r="F16" s="50" t="s">
        <v>28</v>
      </c>
      <c r="G16" s="27"/>
      <c r="H16" s="27"/>
      <c r="I16" s="29"/>
    </row>
    <row r="17" ht="20.25" customHeight="1">
      <c r="A17" s="30"/>
      <c r="B17" s="51" t="s">
        <v>29</v>
      </c>
      <c r="C17" s="34"/>
      <c r="D17" s="13"/>
      <c r="E17" s="13"/>
      <c r="F17" s="13"/>
      <c r="G17" s="13"/>
      <c r="H17" s="13"/>
      <c r="I17" s="52"/>
    </row>
    <row r="18" ht="15.75" customHeight="1">
      <c r="A18" s="30"/>
      <c r="B18" s="30"/>
      <c r="C18" s="13"/>
      <c r="D18" s="13"/>
      <c r="E18" s="13"/>
      <c r="F18" s="13"/>
      <c r="G18" s="13"/>
      <c r="H18" s="13"/>
      <c r="I18" s="52"/>
    </row>
    <row r="19" ht="15.75" customHeight="1">
      <c r="A19" s="53" t="s">
        <v>30</v>
      </c>
      <c r="B19" s="54" t="s">
        <v>31</v>
      </c>
      <c r="C19" s="55" t="s">
        <v>32</v>
      </c>
      <c r="D19" s="56" t="s">
        <v>33</v>
      </c>
      <c r="E19" s="55" t="s">
        <v>34</v>
      </c>
      <c r="F19" s="57" t="s">
        <v>35</v>
      </c>
      <c r="G19" s="57" t="s">
        <v>36</v>
      </c>
      <c r="H19" s="57" t="s">
        <v>37</v>
      </c>
      <c r="I19" s="58" t="s">
        <v>38</v>
      </c>
    </row>
    <row r="20" ht="15.75" customHeight="1">
      <c r="A20" s="59"/>
      <c r="B20" s="60" t="s">
        <v>39</v>
      </c>
      <c r="C20" s="61"/>
      <c r="D20" s="61"/>
      <c r="E20" s="61"/>
      <c r="F20" s="61"/>
      <c r="G20" s="57"/>
      <c r="H20" s="61"/>
      <c r="I20" s="62"/>
    </row>
    <row r="21" ht="15.75" customHeight="1">
      <c r="A21" s="63">
        <v>1.0</v>
      </c>
      <c r="B21" s="64" t="s">
        <v>40</v>
      </c>
      <c r="C21" s="65" t="s">
        <v>41</v>
      </c>
      <c r="D21" s="66">
        <v>998391.0</v>
      </c>
      <c r="E21" s="67" t="s">
        <v>42</v>
      </c>
      <c r="F21" s="68" t="s">
        <v>43</v>
      </c>
      <c r="G21" s="68">
        <v>70.0</v>
      </c>
      <c r="H21" s="69">
        <v>671.13</v>
      </c>
      <c r="I21" s="70">
        <f t="shared" ref="I21:I23" si="1">G21*H21</f>
        <v>46979.1</v>
      </c>
    </row>
    <row r="22" ht="149.25" customHeight="1">
      <c r="A22" s="63">
        <v>2.0</v>
      </c>
      <c r="B22" s="64" t="s">
        <v>44</v>
      </c>
      <c r="C22" s="65" t="s">
        <v>45</v>
      </c>
      <c r="D22" s="66">
        <v>998391.0</v>
      </c>
      <c r="E22" s="67" t="s">
        <v>46</v>
      </c>
      <c r="F22" s="68" t="s">
        <v>43</v>
      </c>
      <c r="G22" s="68">
        <v>34.0</v>
      </c>
      <c r="H22" s="69">
        <v>597.08</v>
      </c>
      <c r="I22" s="70">
        <f t="shared" si="1"/>
        <v>20300.72</v>
      </c>
    </row>
    <row r="23" ht="15.75" customHeight="1">
      <c r="A23" s="63">
        <v>3.0</v>
      </c>
      <c r="B23" s="64" t="s">
        <v>47</v>
      </c>
      <c r="C23" s="65" t="s">
        <v>48</v>
      </c>
      <c r="D23" s="66">
        <v>998391.0</v>
      </c>
      <c r="E23" s="67" t="s">
        <v>49</v>
      </c>
      <c r="F23" s="68" t="s">
        <v>43</v>
      </c>
      <c r="G23" s="68">
        <v>25.0</v>
      </c>
      <c r="H23" s="68">
        <v>879.0678</v>
      </c>
      <c r="I23" s="70">
        <f t="shared" si="1"/>
        <v>21976.695</v>
      </c>
    </row>
    <row r="24" ht="44.25" customHeight="1">
      <c r="A24" s="63" t="s">
        <v>50</v>
      </c>
      <c r="B24" s="64" t="s">
        <v>51</v>
      </c>
      <c r="C24" s="65" t="s">
        <v>52</v>
      </c>
      <c r="D24" s="66">
        <v>998391.0</v>
      </c>
      <c r="E24" s="71" t="s">
        <v>49</v>
      </c>
      <c r="F24" s="68" t="s">
        <v>43</v>
      </c>
      <c r="G24" s="68">
        <v>17.0</v>
      </c>
      <c r="H24" s="68">
        <v>2412.37</v>
      </c>
      <c r="I24" s="70">
        <f>H24*G24</f>
        <v>41010.29</v>
      </c>
    </row>
    <row r="25" ht="98.25" customHeight="1">
      <c r="A25" s="63">
        <v>4.0</v>
      </c>
      <c r="B25" s="64" t="s">
        <v>53</v>
      </c>
      <c r="C25" s="65" t="s">
        <v>54</v>
      </c>
      <c r="D25" s="66">
        <v>998391.0</v>
      </c>
      <c r="E25" s="67" t="s">
        <v>55</v>
      </c>
      <c r="F25" s="68" t="s">
        <v>43</v>
      </c>
      <c r="G25" s="68">
        <v>15.0</v>
      </c>
      <c r="H25" s="68">
        <v>279.12</v>
      </c>
      <c r="I25" s="70">
        <f t="shared" ref="I25:I33" si="2">G25*H25</f>
        <v>4186.8</v>
      </c>
    </row>
    <row r="26" ht="120.75" customHeight="1">
      <c r="A26" s="63">
        <v>5.0</v>
      </c>
      <c r="B26" s="64" t="s">
        <v>56</v>
      </c>
      <c r="C26" s="65" t="s">
        <v>57</v>
      </c>
      <c r="D26" s="66">
        <v>998391.0</v>
      </c>
      <c r="E26" s="67" t="s">
        <v>58</v>
      </c>
      <c r="F26" s="68" t="s">
        <v>43</v>
      </c>
      <c r="G26" s="68">
        <v>110.0</v>
      </c>
      <c r="H26" s="68">
        <v>13.17</v>
      </c>
      <c r="I26" s="70">
        <f t="shared" si="2"/>
        <v>1448.7</v>
      </c>
    </row>
    <row r="27" ht="15.75" customHeight="1">
      <c r="A27" s="63">
        <v>6.0</v>
      </c>
      <c r="B27" s="64" t="s">
        <v>59</v>
      </c>
      <c r="C27" s="65" t="s">
        <v>60</v>
      </c>
      <c r="D27" s="66">
        <v>998391.0</v>
      </c>
      <c r="E27" s="67" t="s">
        <v>58</v>
      </c>
      <c r="F27" s="68" t="s">
        <v>43</v>
      </c>
      <c r="G27" s="68">
        <v>75.0</v>
      </c>
      <c r="H27" s="69">
        <v>114.7084</v>
      </c>
      <c r="I27" s="70">
        <f t="shared" si="2"/>
        <v>8603.13</v>
      </c>
    </row>
    <row r="28" ht="136.5" customHeight="1">
      <c r="A28" s="63">
        <v>7.0</v>
      </c>
      <c r="B28" s="64" t="s">
        <v>61</v>
      </c>
      <c r="C28" s="65" t="s">
        <v>62</v>
      </c>
      <c r="D28" s="66">
        <v>998391.0</v>
      </c>
      <c r="E28" s="67" t="s">
        <v>63</v>
      </c>
      <c r="F28" s="68" t="s">
        <v>43</v>
      </c>
      <c r="G28" s="68">
        <v>420.0</v>
      </c>
      <c r="H28" s="69">
        <v>100.36</v>
      </c>
      <c r="I28" s="70">
        <f t="shared" si="2"/>
        <v>42151.2</v>
      </c>
    </row>
    <row r="29" ht="15.75" customHeight="1">
      <c r="A29" s="63">
        <v>8.0</v>
      </c>
      <c r="B29" s="64" t="s">
        <v>64</v>
      </c>
      <c r="C29" s="65" t="s">
        <v>65</v>
      </c>
      <c r="D29" s="66">
        <v>998391.0</v>
      </c>
      <c r="E29" s="67" t="s">
        <v>66</v>
      </c>
      <c r="F29" s="68" t="s">
        <v>67</v>
      </c>
      <c r="G29" s="68">
        <v>2000.0</v>
      </c>
      <c r="H29" s="69">
        <v>1.0</v>
      </c>
      <c r="I29" s="70">
        <f t="shared" si="2"/>
        <v>2000</v>
      </c>
    </row>
    <row r="30" ht="15.75" customHeight="1">
      <c r="A30" s="63">
        <v>9.0</v>
      </c>
      <c r="B30" s="64" t="s">
        <v>68</v>
      </c>
      <c r="C30" s="65" t="s">
        <v>69</v>
      </c>
      <c r="D30" s="66">
        <v>998391.0</v>
      </c>
      <c r="E30" s="67" t="s">
        <v>66</v>
      </c>
      <c r="F30" s="68" t="s">
        <v>70</v>
      </c>
      <c r="G30" s="68">
        <v>1400.0</v>
      </c>
      <c r="H30" s="68">
        <v>2.0</v>
      </c>
      <c r="I30" s="70">
        <f t="shared" si="2"/>
        <v>2800</v>
      </c>
    </row>
    <row r="31" ht="15.75" customHeight="1">
      <c r="A31" s="63">
        <v>10.0</v>
      </c>
      <c r="B31" s="64" t="s">
        <v>71</v>
      </c>
      <c r="C31" s="65" t="s">
        <v>72</v>
      </c>
      <c r="D31" s="66">
        <v>998391.0</v>
      </c>
      <c r="E31" s="67" t="s">
        <v>66</v>
      </c>
      <c r="F31" s="68" t="s">
        <v>70</v>
      </c>
      <c r="G31" s="68">
        <v>10000.0</v>
      </c>
      <c r="H31" s="68">
        <v>1.0</v>
      </c>
      <c r="I31" s="70">
        <f t="shared" si="2"/>
        <v>10000</v>
      </c>
    </row>
    <row r="32" ht="15.75" customHeight="1">
      <c r="A32" s="63">
        <v>11.0</v>
      </c>
      <c r="B32" s="64" t="s">
        <v>73</v>
      </c>
      <c r="C32" s="65" t="s">
        <v>74</v>
      </c>
      <c r="D32" s="66">
        <v>998391.0</v>
      </c>
      <c r="E32" s="67" t="s">
        <v>66</v>
      </c>
      <c r="F32" s="68" t="s">
        <v>70</v>
      </c>
      <c r="G32" s="68">
        <v>2300.0</v>
      </c>
      <c r="H32" s="68">
        <v>1.0</v>
      </c>
      <c r="I32" s="70">
        <f t="shared" si="2"/>
        <v>2300</v>
      </c>
    </row>
    <row r="33" ht="15.75" customHeight="1">
      <c r="A33" s="63">
        <v>12.0</v>
      </c>
      <c r="B33" s="72" t="s">
        <v>75</v>
      </c>
      <c r="C33" s="73" t="s">
        <v>76</v>
      </c>
      <c r="D33" s="66">
        <v>998391.0</v>
      </c>
      <c r="E33" s="67" t="s">
        <v>66</v>
      </c>
      <c r="F33" s="68" t="s">
        <v>70</v>
      </c>
      <c r="G33" s="68">
        <v>4000.0</v>
      </c>
      <c r="H33" s="68">
        <v>2.0</v>
      </c>
      <c r="I33" s="70">
        <f t="shared" si="2"/>
        <v>8000</v>
      </c>
    </row>
    <row r="34" ht="15.75" customHeight="1">
      <c r="A34" s="63">
        <v>13.0</v>
      </c>
      <c r="B34" s="72" t="s">
        <v>77</v>
      </c>
      <c r="C34" s="74" t="s">
        <v>78</v>
      </c>
      <c r="D34" s="66">
        <v>998391.0</v>
      </c>
      <c r="E34" s="67" t="s">
        <v>66</v>
      </c>
      <c r="F34" s="68" t="s">
        <v>70</v>
      </c>
      <c r="G34" s="68">
        <v>2000.0</v>
      </c>
      <c r="H34" s="68">
        <v>1.0</v>
      </c>
      <c r="I34" s="70">
        <f>H34*G34</f>
        <v>2000</v>
      </c>
    </row>
    <row r="35" ht="15.75" customHeight="1">
      <c r="A35" s="63">
        <v>14.0</v>
      </c>
      <c r="B35" s="64" t="s">
        <v>79</v>
      </c>
      <c r="C35" s="65" t="s">
        <v>80</v>
      </c>
      <c r="D35" s="66">
        <v>998391.0</v>
      </c>
      <c r="E35" s="67" t="s">
        <v>81</v>
      </c>
      <c r="F35" s="68" t="s">
        <v>43</v>
      </c>
      <c r="G35" s="68">
        <v>430.0</v>
      </c>
      <c r="H35" s="69">
        <v>129.7007</v>
      </c>
      <c r="I35" s="70">
        <f t="shared" ref="I35:I45" si="3">G35*H35</f>
        <v>55771.301</v>
      </c>
    </row>
    <row r="36" ht="15.75" customHeight="1">
      <c r="A36" s="63">
        <v>15.0</v>
      </c>
      <c r="B36" s="64" t="s">
        <v>82</v>
      </c>
      <c r="C36" s="65" t="s">
        <v>83</v>
      </c>
      <c r="D36" s="66">
        <v>998391.0</v>
      </c>
      <c r="E36" s="67" t="s">
        <v>84</v>
      </c>
      <c r="F36" s="68" t="s">
        <v>43</v>
      </c>
      <c r="G36" s="68">
        <v>170.0</v>
      </c>
      <c r="H36" s="68">
        <v>22.68419</v>
      </c>
      <c r="I36" s="70">
        <f t="shared" si="3"/>
        <v>3856.3123</v>
      </c>
    </row>
    <row r="37" ht="15.75" customHeight="1">
      <c r="A37" s="63">
        <v>16.0</v>
      </c>
      <c r="B37" s="64" t="s">
        <v>85</v>
      </c>
      <c r="C37" s="75" t="s">
        <v>86</v>
      </c>
      <c r="D37" s="66">
        <v>998391.0</v>
      </c>
      <c r="E37" s="67" t="s">
        <v>87</v>
      </c>
      <c r="F37" s="68" t="s">
        <v>70</v>
      </c>
      <c r="G37" s="68">
        <v>200.0</v>
      </c>
      <c r="H37" s="68">
        <v>12.0</v>
      </c>
      <c r="I37" s="70">
        <f t="shared" si="3"/>
        <v>2400</v>
      </c>
    </row>
    <row r="38" ht="15.75" customHeight="1">
      <c r="A38" s="63">
        <v>17.0</v>
      </c>
      <c r="B38" s="64" t="s">
        <v>88</v>
      </c>
      <c r="C38" s="65" t="s">
        <v>89</v>
      </c>
      <c r="D38" s="66">
        <v>998391.0</v>
      </c>
      <c r="E38" s="76" t="s">
        <v>87</v>
      </c>
      <c r="F38" s="68" t="s">
        <v>70</v>
      </c>
      <c r="G38" s="68">
        <v>1500.0</v>
      </c>
      <c r="H38" s="68">
        <v>1.0</v>
      </c>
      <c r="I38" s="70">
        <f t="shared" si="3"/>
        <v>1500</v>
      </c>
    </row>
    <row r="39" ht="15.75" customHeight="1">
      <c r="A39" s="63">
        <v>18.0</v>
      </c>
      <c r="B39" s="64" t="s">
        <v>90</v>
      </c>
      <c r="C39" s="65" t="s">
        <v>91</v>
      </c>
      <c r="D39" s="66">
        <v>998391.0</v>
      </c>
      <c r="E39" s="67" t="s">
        <v>87</v>
      </c>
      <c r="F39" s="68" t="s">
        <v>70</v>
      </c>
      <c r="G39" s="68">
        <v>1000.0</v>
      </c>
      <c r="H39" s="68">
        <v>2.0</v>
      </c>
      <c r="I39" s="70">
        <f t="shared" si="3"/>
        <v>2000</v>
      </c>
    </row>
    <row r="40" ht="15.75" customHeight="1">
      <c r="A40" s="63">
        <v>19.0</v>
      </c>
      <c r="B40" s="64" t="s">
        <v>92</v>
      </c>
      <c r="C40" s="65" t="s">
        <v>93</v>
      </c>
      <c r="D40" s="66">
        <v>998391.0</v>
      </c>
      <c r="E40" s="67" t="s">
        <v>94</v>
      </c>
      <c r="F40" s="68" t="s">
        <v>95</v>
      </c>
      <c r="G40" s="68">
        <v>1500.0</v>
      </c>
      <c r="H40" s="68">
        <v>2.0</v>
      </c>
      <c r="I40" s="70">
        <f t="shared" si="3"/>
        <v>3000</v>
      </c>
    </row>
    <row r="41" ht="15.75" customHeight="1">
      <c r="A41" s="63">
        <v>20.0</v>
      </c>
      <c r="B41" s="64" t="s">
        <v>96</v>
      </c>
      <c r="C41" s="65" t="s">
        <v>97</v>
      </c>
      <c r="D41" s="66">
        <v>998391.0</v>
      </c>
      <c r="E41" s="73"/>
      <c r="F41" s="68" t="s">
        <v>98</v>
      </c>
      <c r="G41" s="68">
        <v>1000.0</v>
      </c>
      <c r="H41" s="68">
        <v>2.0</v>
      </c>
      <c r="I41" s="70">
        <f t="shared" si="3"/>
        <v>2000</v>
      </c>
    </row>
    <row r="42" ht="64.5" customHeight="1">
      <c r="A42" s="63">
        <v>21.0</v>
      </c>
      <c r="B42" s="64" t="s">
        <v>99</v>
      </c>
      <c r="C42" s="65" t="s">
        <v>100</v>
      </c>
      <c r="D42" s="66">
        <v>998391.0</v>
      </c>
      <c r="E42" s="73"/>
      <c r="F42" s="68" t="s">
        <v>98</v>
      </c>
      <c r="G42" s="68">
        <v>2500.0</v>
      </c>
      <c r="H42" s="68">
        <v>1.0</v>
      </c>
      <c r="I42" s="70">
        <f t="shared" si="3"/>
        <v>2500</v>
      </c>
    </row>
    <row r="43" ht="15.75" customHeight="1">
      <c r="A43" s="63">
        <v>22.0</v>
      </c>
      <c r="B43" s="77" t="s">
        <v>101</v>
      </c>
      <c r="C43" s="78" t="s">
        <v>102</v>
      </c>
      <c r="D43" s="66">
        <v>998391.0</v>
      </c>
      <c r="E43" s="79" t="s">
        <v>87</v>
      </c>
      <c r="F43" s="80" t="s">
        <v>98</v>
      </c>
      <c r="G43" s="80">
        <v>1000.0</v>
      </c>
      <c r="H43" s="80">
        <v>1.0</v>
      </c>
      <c r="I43" s="81">
        <f t="shared" si="3"/>
        <v>1000</v>
      </c>
    </row>
    <row r="44" ht="15.75" customHeight="1">
      <c r="A44" s="63">
        <v>23.0</v>
      </c>
      <c r="B44" s="77" t="s">
        <v>103</v>
      </c>
      <c r="C44" s="78" t="s">
        <v>104</v>
      </c>
      <c r="D44" s="66">
        <v>998391.0</v>
      </c>
      <c r="E44" s="79"/>
      <c r="F44" s="80" t="s">
        <v>98</v>
      </c>
      <c r="G44" s="82">
        <v>1000.0</v>
      </c>
      <c r="H44" s="80">
        <v>1.0</v>
      </c>
      <c r="I44" s="81">
        <f t="shared" si="3"/>
        <v>1000</v>
      </c>
    </row>
    <row r="45" ht="15.75" customHeight="1">
      <c r="A45" s="63">
        <v>24.0</v>
      </c>
      <c r="B45" s="77" t="s">
        <v>105</v>
      </c>
      <c r="C45" s="78" t="s">
        <v>106</v>
      </c>
      <c r="D45" s="66">
        <v>998391.0</v>
      </c>
      <c r="E45" s="79"/>
      <c r="F45" s="80" t="s">
        <v>95</v>
      </c>
      <c r="G45" s="82">
        <v>2500.0</v>
      </c>
      <c r="H45" s="80">
        <v>1.0</v>
      </c>
      <c r="I45" s="81">
        <f t="shared" si="3"/>
        <v>2500</v>
      </c>
    </row>
    <row r="46" ht="15.75" customHeight="1">
      <c r="A46" s="63">
        <v>25.0</v>
      </c>
      <c r="B46" s="77" t="s">
        <v>107</v>
      </c>
      <c r="C46" s="78" t="s">
        <v>108</v>
      </c>
      <c r="D46" s="66">
        <v>998391.0</v>
      </c>
      <c r="E46" s="79"/>
      <c r="F46" s="80" t="s">
        <v>67</v>
      </c>
      <c r="G46" s="82">
        <v>1000.0</v>
      </c>
      <c r="H46" s="80">
        <v>2.0</v>
      </c>
      <c r="I46" s="81">
        <f t="shared" ref="I46:I48" si="4">H46*G46</f>
        <v>2000</v>
      </c>
    </row>
    <row r="47" ht="15.75" customHeight="1">
      <c r="A47" s="63">
        <v>26.0</v>
      </c>
      <c r="B47" s="72" t="s">
        <v>109</v>
      </c>
      <c r="C47" s="73" t="s">
        <v>110</v>
      </c>
      <c r="D47" s="66">
        <v>998391.0</v>
      </c>
      <c r="E47" s="67" t="s">
        <v>66</v>
      </c>
      <c r="F47" s="68" t="s">
        <v>67</v>
      </c>
      <c r="G47" s="68">
        <v>2400.0</v>
      </c>
      <c r="H47" s="68">
        <v>1.0</v>
      </c>
      <c r="I47" s="70">
        <f t="shared" si="4"/>
        <v>2400</v>
      </c>
    </row>
    <row r="48" ht="15.75" customHeight="1">
      <c r="A48" s="63">
        <v>27.0</v>
      </c>
      <c r="B48" s="72" t="s">
        <v>111</v>
      </c>
      <c r="C48" s="73" t="s">
        <v>112</v>
      </c>
      <c r="D48" s="66">
        <v>998391.0</v>
      </c>
      <c r="E48" s="67" t="s">
        <v>66</v>
      </c>
      <c r="F48" s="68" t="s">
        <v>67</v>
      </c>
      <c r="G48" s="68">
        <v>2025.0</v>
      </c>
      <c r="H48" s="68">
        <v>1.0</v>
      </c>
      <c r="I48" s="70">
        <f t="shared" si="4"/>
        <v>2025</v>
      </c>
    </row>
    <row r="49" ht="15.75" customHeight="1">
      <c r="A49" s="63">
        <v>28.0</v>
      </c>
      <c r="B49" s="64" t="s">
        <v>113</v>
      </c>
      <c r="C49" s="83" t="s">
        <v>114</v>
      </c>
      <c r="D49" s="66">
        <v>998391.0</v>
      </c>
      <c r="E49" s="67" t="s">
        <v>115</v>
      </c>
      <c r="F49" s="68" t="s">
        <v>67</v>
      </c>
      <c r="G49" s="68">
        <v>250.0</v>
      </c>
      <c r="H49" s="68">
        <v>2.0</v>
      </c>
      <c r="I49" s="70">
        <f>G49*H49</f>
        <v>500</v>
      </c>
    </row>
    <row r="50" ht="15.75" customHeight="1">
      <c r="A50" s="84"/>
      <c r="B50" s="85"/>
      <c r="C50" s="73"/>
      <c r="D50" s="73"/>
      <c r="E50" s="73"/>
      <c r="F50" s="86" t="s">
        <v>116</v>
      </c>
      <c r="G50" s="87"/>
      <c r="H50" s="88"/>
      <c r="I50" s="70">
        <f>I21+I22+I23+I24+I25+I26+I27+I28+I29+I30+I31+I32+I33+I34+I35+I36+I37+I38+I39+I40+I41+I42+I43+I44+I45+I46+I47+I48+I49</f>
        <v>298209.2483</v>
      </c>
    </row>
    <row r="51" ht="16.5" customHeight="1">
      <c r="A51" s="84"/>
      <c r="B51" s="85"/>
      <c r="C51" s="73"/>
      <c r="D51" s="89"/>
      <c r="E51" s="90"/>
      <c r="F51" s="87"/>
      <c r="G51" s="87"/>
      <c r="H51" s="88"/>
      <c r="I51" s="91"/>
    </row>
    <row r="52" ht="15.75" customHeight="1">
      <c r="A52" s="84"/>
      <c r="B52" s="85"/>
      <c r="C52" s="73"/>
      <c r="D52" s="73"/>
      <c r="E52" s="73"/>
      <c r="F52" s="86" t="s">
        <v>117</v>
      </c>
      <c r="G52" s="87"/>
      <c r="H52" s="88"/>
      <c r="I52" s="70">
        <v>298209.25</v>
      </c>
    </row>
    <row r="53" ht="15.75" customHeight="1">
      <c r="A53" s="84"/>
      <c r="B53" s="85"/>
      <c r="C53" s="73"/>
      <c r="D53" s="73"/>
      <c r="E53" s="73"/>
      <c r="F53" s="92" t="s">
        <v>118</v>
      </c>
      <c r="G53" s="87"/>
      <c r="H53" s="88"/>
      <c r="I53" s="70">
        <f>I52*18%</f>
        <v>53677.665</v>
      </c>
    </row>
    <row r="54" ht="12.0" customHeight="1">
      <c r="A54" s="84"/>
      <c r="B54" s="85"/>
      <c r="C54" s="73"/>
      <c r="D54" s="73"/>
      <c r="E54" s="73"/>
      <c r="F54" s="86"/>
      <c r="G54" s="87"/>
      <c r="H54" s="88"/>
      <c r="I54" s="70"/>
    </row>
    <row r="55" ht="15.75" customHeight="1">
      <c r="A55" s="84"/>
      <c r="B55" s="85"/>
      <c r="C55" s="73"/>
      <c r="D55" s="73"/>
      <c r="E55" s="73"/>
      <c r="F55" s="86" t="s">
        <v>119</v>
      </c>
      <c r="G55" s="87"/>
      <c r="H55" s="88"/>
      <c r="I55" s="70">
        <f>SUM(I53:I54)</f>
        <v>53677.665</v>
      </c>
    </row>
    <row r="56" ht="15.75" customHeight="1">
      <c r="A56" s="84"/>
      <c r="B56" s="93"/>
      <c r="C56" s="94"/>
      <c r="D56" s="94"/>
      <c r="E56" s="94"/>
      <c r="F56" s="95" t="s">
        <v>120</v>
      </c>
      <c r="G56" s="96"/>
      <c r="H56" s="97"/>
      <c r="I56" s="98">
        <f>I52+I55</f>
        <v>351886.915</v>
      </c>
    </row>
    <row r="57" ht="15.75" customHeight="1">
      <c r="A57" s="99"/>
      <c r="B57" s="100" t="s">
        <v>121</v>
      </c>
      <c r="C57" s="101"/>
      <c r="D57" s="101"/>
      <c r="E57" s="101"/>
      <c r="F57" s="101"/>
      <c r="G57" s="101"/>
      <c r="H57" s="101"/>
      <c r="I57" s="102"/>
    </row>
    <row r="58" ht="15.75" customHeight="1">
      <c r="A58" s="99"/>
      <c r="B58" s="103"/>
      <c r="C58" s="101"/>
      <c r="D58" s="101"/>
      <c r="E58" s="101"/>
      <c r="F58" s="101"/>
      <c r="G58" s="101"/>
      <c r="H58" s="101"/>
      <c r="I58" s="102"/>
    </row>
    <row r="59" ht="15.75" customHeight="1">
      <c r="A59" s="104"/>
      <c r="B59" s="105" t="s">
        <v>122</v>
      </c>
      <c r="C59" s="34"/>
      <c r="D59" s="106"/>
      <c r="E59" s="107"/>
      <c r="F59" s="108"/>
      <c r="G59" s="109" t="s">
        <v>123</v>
      </c>
      <c r="H59" s="15"/>
      <c r="I59" s="17"/>
    </row>
    <row r="60" ht="15.75" customHeight="1">
      <c r="A60" s="110"/>
      <c r="B60" s="110" t="s">
        <v>124</v>
      </c>
      <c r="C60" s="22"/>
      <c r="D60" s="111"/>
      <c r="E60" s="112"/>
      <c r="F60" s="113"/>
      <c r="G60" s="114" t="s">
        <v>125</v>
      </c>
      <c r="H60" s="115"/>
      <c r="I60" s="116"/>
    </row>
    <row r="61" ht="15.75" customHeight="1">
      <c r="A61" s="110"/>
      <c r="B61" s="110" t="s">
        <v>126</v>
      </c>
      <c r="C61" s="22"/>
      <c r="D61" s="111"/>
      <c r="E61" s="112"/>
      <c r="F61" s="113"/>
      <c r="G61" s="117"/>
      <c r="I61" s="118"/>
    </row>
    <row r="62" ht="15.75" customHeight="1">
      <c r="A62" s="119"/>
      <c r="B62" s="120" t="s">
        <v>127</v>
      </c>
      <c r="C62" s="22"/>
      <c r="D62" s="111"/>
      <c r="E62" s="112"/>
      <c r="F62" s="113"/>
      <c r="G62" s="112"/>
      <c r="I62" s="118"/>
    </row>
    <row r="63" ht="15.75" customHeight="1">
      <c r="A63" s="119"/>
      <c r="B63" s="5"/>
      <c r="C63" s="22"/>
      <c r="D63" s="111"/>
      <c r="E63" s="112"/>
      <c r="F63" s="113"/>
      <c r="G63" s="112"/>
      <c r="I63" s="118"/>
    </row>
    <row r="64" ht="11.25" customHeight="1">
      <c r="A64" s="119"/>
      <c r="B64" s="5"/>
      <c r="C64" s="22"/>
      <c r="D64" s="111"/>
      <c r="E64" s="112"/>
      <c r="F64" s="113"/>
      <c r="G64" s="112"/>
      <c r="I64" s="118"/>
    </row>
    <row r="65" ht="15.75" customHeight="1">
      <c r="A65" s="119"/>
      <c r="B65" s="5"/>
      <c r="C65" s="22"/>
      <c r="D65" s="111"/>
      <c r="E65" s="112"/>
      <c r="F65" s="113"/>
      <c r="G65" s="112"/>
      <c r="I65" s="118"/>
    </row>
    <row r="66" ht="15.75" customHeight="1">
      <c r="A66" s="121"/>
      <c r="B66" s="122"/>
      <c r="C66" s="123"/>
      <c r="D66" s="124"/>
      <c r="E66" s="125" t="s">
        <v>128</v>
      </c>
      <c r="F66" s="126"/>
      <c r="G66" s="127" t="s">
        <v>129</v>
      </c>
      <c r="H66" s="128"/>
      <c r="I66" s="129"/>
    </row>
    <row r="67" ht="15.75" customHeight="1">
      <c r="A67" s="130"/>
      <c r="B67" s="130"/>
      <c r="C67" s="130"/>
      <c r="D67" s="130"/>
      <c r="E67" s="130"/>
      <c r="F67" s="130"/>
      <c r="G67" s="130"/>
      <c r="H67" s="130"/>
      <c r="I67" s="130"/>
    </row>
    <row r="68" ht="15.75" customHeight="1">
      <c r="A68" s="130"/>
      <c r="B68" s="130"/>
      <c r="C68" s="130"/>
      <c r="D68" s="130"/>
      <c r="E68" s="130"/>
      <c r="F68" s="130"/>
      <c r="G68" s="130"/>
      <c r="H68" s="130"/>
      <c r="I68" s="130"/>
    </row>
    <row r="69" ht="15.75" customHeight="1">
      <c r="A69" s="130"/>
      <c r="B69" s="130"/>
      <c r="C69" s="130"/>
      <c r="D69" s="130"/>
      <c r="E69" s="130"/>
      <c r="F69" s="130"/>
      <c r="G69" s="130"/>
      <c r="H69" s="130"/>
      <c r="I69" s="130"/>
    </row>
    <row r="70" ht="15.75" customHeight="1">
      <c r="A70" s="130"/>
      <c r="B70" s="130"/>
      <c r="C70" s="130"/>
      <c r="D70" s="130"/>
      <c r="E70" s="130"/>
      <c r="F70" s="130"/>
      <c r="G70" s="130"/>
      <c r="H70" s="130"/>
      <c r="I70" s="130"/>
    </row>
    <row r="71" ht="15.75" customHeight="1">
      <c r="A71" s="130"/>
      <c r="B71" s="130"/>
      <c r="C71" s="130"/>
      <c r="D71" s="130"/>
      <c r="E71" s="130"/>
      <c r="F71" s="130"/>
      <c r="G71" s="130"/>
      <c r="H71" s="130"/>
      <c r="I71" s="130"/>
    </row>
    <row r="72" ht="15.75" customHeight="1">
      <c r="A72" s="130"/>
      <c r="B72" s="130"/>
      <c r="C72" s="130"/>
      <c r="D72" s="130"/>
      <c r="E72" s="130"/>
      <c r="F72" s="130"/>
      <c r="G72" s="130"/>
      <c r="H72" s="130"/>
      <c r="I72" s="130"/>
    </row>
    <row r="73" ht="15.75" customHeight="1">
      <c r="A73" s="130"/>
      <c r="B73" s="130"/>
      <c r="C73" s="130"/>
      <c r="D73" s="130"/>
      <c r="E73" s="130"/>
      <c r="F73" s="130"/>
      <c r="G73" s="130"/>
      <c r="H73" s="130"/>
      <c r="I73" s="130"/>
    </row>
    <row r="74" ht="15.75" customHeight="1">
      <c r="A74" s="130"/>
      <c r="B74" s="130"/>
      <c r="C74" s="130"/>
      <c r="D74" s="130"/>
      <c r="E74" s="130"/>
      <c r="F74" s="130"/>
      <c r="G74" s="130"/>
      <c r="H74" s="130"/>
      <c r="I74" s="130"/>
    </row>
    <row r="75" ht="15.75" customHeight="1">
      <c r="A75" s="130"/>
      <c r="B75" s="130"/>
      <c r="C75" s="130"/>
      <c r="D75" s="130"/>
      <c r="E75" s="130"/>
      <c r="F75" s="130"/>
      <c r="G75" s="130"/>
      <c r="H75" s="130"/>
      <c r="I75" s="130"/>
    </row>
    <row r="76" ht="15.75" customHeight="1">
      <c r="A76" s="130"/>
      <c r="B76" s="130"/>
      <c r="C76" s="130"/>
      <c r="D76" s="130"/>
      <c r="E76" s="130"/>
      <c r="F76" s="130"/>
      <c r="G76" s="130"/>
      <c r="H76" s="130"/>
      <c r="I76" s="130"/>
    </row>
    <row r="77" ht="15.75" customHeight="1">
      <c r="A77" s="130"/>
      <c r="B77" s="130"/>
      <c r="C77" s="130"/>
      <c r="D77" s="130"/>
      <c r="E77" s="130"/>
      <c r="F77" s="130"/>
      <c r="G77" s="130"/>
      <c r="H77" s="130"/>
      <c r="I77" s="130"/>
    </row>
    <row r="78" ht="15.75" customHeight="1">
      <c r="A78" s="130"/>
      <c r="B78" s="130"/>
      <c r="C78" s="130"/>
      <c r="D78" s="130"/>
      <c r="E78" s="130"/>
      <c r="F78" s="130"/>
      <c r="G78" s="130"/>
      <c r="H78" s="130"/>
      <c r="I78" s="130"/>
    </row>
    <row r="79" ht="15.75" customHeight="1">
      <c r="A79" s="130"/>
      <c r="B79" s="130"/>
      <c r="C79" s="130"/>
      <c r="D79" s="130"/>
      <c r="E79" s="130"/>
      <c r="F79" s="130"/>
      <c r="G79" s="130"/>
      <c r="H79" s="130"/>
      <c r="I79" s="130"/>
    </row>
    <row r="80" ht="15.75" customHeight="1">
      <c r="A80" s="130"/>
      <c r="B80" s="130"/>
      <c r="C80" s="130"/>
      <c r="D80" s="130"/>
      <c r="E80" s="130"/>
      <c r="F80" s="130"/>
      <c r="G80" s="130"/>
      <c r="H80" s="130"/>
      <c r="I80" s="130"/>
    </row>
    <row r="81" ht="15.75" customHeight="1">
      <c r="A81" s="130"/>
      <c r="B81" s="130"/>
      <c r="C81" s="130"/>
      <c r="D81" s="130"/>
      <c r="E81" s="130"/>
      <c r="F81" s="130"/>
      <c r="G81" s="130"/>
      <c r="H81" s="130"/>
      <c r="I81" s="130"/>
    </row>
    <row r="82" ht="15.75" customHeight="1">
      <c r="A82" s="130"/>
      <c r="B82" s="130"/>
      <c r="C82" s="130"/>
      <c r="D82" s="130"/>
      <c r="E82" s="130"/>
      <c r="F82" s="130"/>
      <c r="G82" s="130"/>
      <c r="H82" s="130"/>
      <c r="I82" s="130"/>
    </row>
    <row r="83" ht="15.75" customHeight="1">
      <c r="A83" s="130"/>
      <c r="B83" s="130"/>
      <c r="C83" s="130"/>
      <c r="D83" s="130"/>
      <c r="E83" s="130"/>
      <c r="F83" s="130"/>
      <c r="G83" s="130"/>
      <c r="H83" s="130"/>
      <c r="I83" s="130"/>
    </row>
    <row r="84" ht="15.75" customHeight="1">
      <c r="A84" s="130"/>
      <c r="B84" s="130"/>
      <c r="C84" s="130"/>
      <c r="D84" s="130"/>
      <c r="E84" s="130"/>
      <c r="F84" s="130"/>
      <c r="G84" s="130"/>
      <c r="H84" s="130"/>
      <c r="I84" s="130"/>
    </row>
    <row r="85" ht="15.75" customHeight="1">
      <c r="A85" s="130"/>
      <c r="B85" s="130"/>
      <c r="C85" s="130"/>
      <c r="D85" s="130"/>
      <c r="E85" s="130"/>
      <c r="F85" s="130"/>
      <c r="G85" s="130"/>
      <c r="H85" s="130"/>
      <c r="I85" s="130"/>
    </row>
    <row r="86" ht="15.75" customHeight="1">
      <c r="A86" s="130"/>
      <c r="B86" s="130"/>
      <c r="C86" s="130"/>
      <c r="D86" s="130"/>
      <c r="E86" s="130"/>
      <c r="F86" s="130"/>
      <c r="G86" s="130"/>
      <c r="H86" s="130"/>
      <c r="I86" s="130"/>
    </row>
    <row r="87" ht="15.75" customHeight="1">
      <c r="A87" s="130"/>
      <c r="B87" s="130"/>
      <c r="C87" s="130"/>
      <c r="D87" s="130"/>
      <c r="E87" s="130"/>
      <c r="F87" s="130"/>
      <c r="G87" s="130"/>
      <c r="H87" s="130"/>
      <c r="I87" s="130"/>
    </row>
    <row r="88" ht="15.75" customHeight="1">
      <c r="A88" s="130"/>
      <c r="B88" s="130"/>
      <c r="C88" s="130"/>
      <c r="D88" s="130"/>
      <c r="E88" s="130"/>
      <c r="F88" s="130"/>
      <c r="G88" s="130"/>
      <c r="H88" s="130"/>
      <c r="I88" s="130"/>
    </row>
    <row r="89" ht="15.75" customHeight="1">
      <c r="A89" s="130"/>
      <c r="B89" s="130"/>
      <c r="C89" s="130"/>
      <c r="D89" s="130"/>
      <c r="E89" s="130"/>
      <c r="F89" s="130"/>
      <c r="G89" s="130"/>
      <c r="H89" s="130"/>
      <c r="I89" s="130"/>
    </row>
    <row r="90" ht="15.75" customHeight="1">
      <c r="A90" s="130"/>
      <c r="B90" s="130"/>
      <c r="C90" s="130"/>
      <c r="D90" s="130"/>
      <c r="E90" s="130"/>
      <c r="F90" s="130"/>
      <c r="G90" s="130"/>
      <c r="H90" s="130"/>
      <c r="I90" s="130"/>
    </row>
    <row r="91" ht="15.75" customHeight="1">
      <c r="A91" s="130"/>
      <c r="B91" s="130"/>
      <c r="C91" s="130"/>
      <c r="D91" s="130"/>
      <c r="E91" s="130"/>
      <c r="F91" s="130"/>
      <c r="G91" s="130"/>
      <c r="H91" s="130"/>
      <c r="I91" s="130"/>
    </row>
    <row r="92" ht="15.75" customHeight="1">
      <c r="A92" s="130"/>
      <c r="B92" s="130"/>
      <c r="C92" s="130"/>
      <c r="D92" s="130"/>
      <c r="E92" s="130"/>
      <c r="F92" s="130"/>
      <c r="G92" s="130"/>
      <c r="H92" s="130"/>
      <c r="I92" s="130"/>
    </row>
    <row r="93" ht="15.75" customHeight="1">
      <c r="A93" s="130"/>
      <c r="B93" s="130"/>
      <c r="C93" s="130"/>
      <c r="D93" s="130"/>
      <c r="E93" s="130"/>
      <c r="F93" s="130"/>
      <c r="G93" s="130"/>
      <c r="H93" s="130"/>
      <c r="I93" s="130"/>
    </row>
    <row r="94" ht="15.75" customHeight="1">
      <c r="A94" s="130"/>
      <c r="B94" s="130"/>
      <c r="C94" s="130"/>
      <c r="D94" s="130"/>
      <c r="E94" s="130"/>
      <c r="F94" s="130"/>
      <c r="G94" s="130"/>
      <c r="H94" s="130"/>
      <c r="I94" s="130"/>
    </row>
    <row r="95" ht="15.75" customHeight="1">
      <c r="A95" s="130"/>
      <c r="B95" s="130"/>
      <c r="C95" s="130"/>
      <c r="D95" s="130"/>
      <c r="E95" s="130"/>
      <c r="F95" s="130"/>
      <c r="G95" s="130"/>
      <c r="H95" s="130"/>
      <c r="I95" s="130"/>
    </row>
    <row r="96" ht="15.75" customHeight="1">
      <c r="A96" s="130"/>
      <c r="B96" s="130"/>
      <c r="C96" s="130"/>
      <c r="D96" s="130"/>
      <c r="E96" s="130"/>
      <c r="F96" s="130"/>
      <c r="G96" s="130"/>
      <c r="H96" s="130"/>
      <c r="I96" s="130"/>
    </row>
    <row r="97" ht="15.75" customHeight="1">
      <c r="A97" s="130"/>
      <c r="B97" s="130"/>
      <c r="C97" s="130"/>
      <c r="D97" s="130"/>
      <c r="E97" s="130"/>
      <c r="F97" s="130"/>
      <c r="G97" s="130"/>
      <c r="H97" s="130"/>
      <c r="I97" s="130"/>
    </row>
    <row r="98" ht="15.75" customHeight="1">
      <c r="A98" s="130"/>
      <c r="B98" s="130"/>
      <c r="C98" s="130"/>
      <c r="D98" s="130"/>
      <c r="E98" s="130"/>
      <c r="F98" s="130"/>
      <c r="G98" s="130"/>
      <c r="H98" s="130"/>
      <c r="I98" s="130"/>
    </row>
    <row r="99" ht="15.75" customHeight="1">
      <c r="A99" s="130"/>
      <c r="B99" s="130"/>
      <c r="C99" s="130"/>
      <c r="D99" s="130"/>
      <c r="E99" s="130"/>
      <c r="F99" s="130"/>
      <c r="G99" s="130"/>
      <c r="H99" s="130"/>
      <c r="I99" s="130"/>
    </row>
    <row r="100" ht="15.75" customHeight="1">
      <c r="A100" s="130"/>
      <c r="B100" s="130"/>
      <c r="C100" s="130"/>
      <c r="D100" s="130"/>
      <c r="E100" s="130"/>
      <c r="F100" s="130"/>
      <c r="G100" s="130"/>
      <c r="H100" s="130"/>
      <c r="I100" s="130"/>
    </row>
    <row r="101" ht="15.75" customHeight="1">
      <c r="A101" s="130"/>
      <c r="B101" s="130"/>
      <c r="C101" s="130"/>
      <c r="D101" s="130"/>
      <c r="E101" s="130"/>
      <c r="F101" s="130"/>
      <c r="G101" s="130"/>
      <c r="H101" s="130"/>
      <c r="I101" s="130"/>
    </row>
    <row r="102" ht="15.75" customHeight="1">
      <c r="A102" s="130"/>
      <c r="B102" s="130"/>
      <c r="C102" s="130"/>
      <c r="D102" s="130"/>
      <c r="E102" s="130"/>
      <c r="F102" s="130"/>
      <c r="G102" s="130"/>
      <c r="H102" s="130"/>
      <c r="I102" s="130"/>
    </row>
    <row r="103" ht="15.75" customHeight="1">
      <c r="A103" s="130"/>
      <c r="B103" s="130"/>
      <c r="C103" s="130"/>
      <c r="D103" s="130"/>
      <c r="E103" s="130"/>
      <c r="F103" s="130"/>
      <c r="G103" s="130"/>
      <c r="H103" s="130"/>
      <c r="I103" s="130"/>
    </row>
    <row r="104" ht="15.75" customHeight="1">
      <c r="A104" s="130"/>
      <c r="B104" s="130"/>
      <c r="C104" s="130"/>
      <c r="D104" s="130"/>
      <c r="E104" s="130"/>
      <c r="F104" s="130"/>
      <c r="G104" s="130"/>
      <c r="H104" s="130"/>
      <c r="I104" s="130"/>
    </row>
    <row r="105" ht="15.75" customHeight="1">
      <c r="A105" s="130"/>
      <c r="B105" s="130"/>
      <c r="C105" s="130"/>
      <c r="D105" s="130"/>
      <c r="E105" s="130"/>
      <c r="F105" s="130"/>
      <c r="G105" s="130"/>
      <c r="H105" s="130"/>
      <c r="I105" s="130"/>
    </row>
    <row r="106" ht="15.75" customHeight="1">
      <c r="A106" s="130"/>
      <c r="B106" s="130"/>
      <c r="C106" s="130"/>
      <c r="D106" s="130"/>
      <c r="E106" s="130"/>
      <c r="F106" s="130"/>
      <c r="G106" s="130"/>
      <c r="H106" s="130"/>
      <c r="I106" s="130"/>
    </row>
    <row r="107" ht="15.75" customHeight="1">
      <c r="A107" s="130"/>
      <c r="B107" s="130"/>
      <c r="C107" s="130"/>
      <c r="D107" s="130"/>
      <c r="E107" s="130"/>
      <c r="F107" s="130"/>
      <c r="G107" s="130"/>
      <c r="H107" s="130"/>
      <c r="I107" s="130"/>
    </row>
    <row r="108" ht="15.75" customHeight="1">
      <c r="A108" s="130"/>
      <c r="B108" s="130"/>
      <c r="C108" s="130"/>
      <c r="D108" s="130"/>
      <c r="E108" s="130"/>
      <c r="F108" s="130"/>
      <c r="G108" s="130"/>
      <c r="H108" s="130"/>
      <c r="I108" s="130"/>
    </row>
    <row r="109" ht="15.75" customHeight="1">
      <c r="A109" s="130"/>
      <c r="B109" s="130"/>
      <c r="C109" s="130"/>
      <c r="D109" s="130"/>
      <c r="E109" s="130"/>
      <c r="F109" s="130"/>
      <c r="G109" s="130"/>
      <c r="H109" s="130"/>
      <c r="I109" s="130"/>
    </row>
    <row r="110" ht="15.75" customHeight="1">
      <c r="A110" s="130"/>
      <c r="B110" s="130"/>
      <c r="C110" s="130"/>
      <c r="D110" s="130"/>
      <c r="E110" s="130"/>
      <c r="F110" s="130"/>
      <c r="G110" s="130"/>
      <c r="H110" s="130"/>
      <c r="I110" s="130"/>
    </row>
    <row r="111" ht="15.75" customHeight="1">
      <c r="A111" s="130"/>
      <c r="B111" s="130"/>
      <c r="C111" s="130"/>
      <c r="D111" s="130"/>
      <c r="E111" s="130"/>
      <c r="F111" s="130"/>
      <c r="G111" s="130"/>
      <c r="H111" s="130"/>
      <c r="I111" s="130"/>
    </row>
    <row r="112" ht="15.75" customHeight="1">
      <c r="A112" s="130"/>
      <c r="B112" s="130"/>
      <c r="C112" s="130"/>
      <c r="D112" s="130"/>
      <c r="E112" s="130"/>
      <c r="F112" s="130"/>
      <c r="G112" s="130"/>
      <c r="H112" s="130"/>
      <c r="I112" s="130"/>
    </row>
    <row r="113" ht="15.75" customHeight="1">
      <c r="A113" s="130"/>
      <c r="B113" s="130"/>
      <c r="C113" s="130"/>
      <c r="D113" s="130"/>
      <c r="E113" s="130"/>
      <c r="F113" s="130"/>
      <c r="G113" s="130"/>
      <c r="H113" s="130"/>
      <c r="I113" s="130"/>
    </row>
    <row r="114" ht="15.75" customHeight="1">
      <c r="A114" s="130"/>
      <c r="B114" s="130"/>
      <c r="C114" s="130"/>
      <c r="D114" s="130"/>
      <c r="E114" s="130"/>
      <c r="F114" s="130"/>
      <c r="G114" s="130"/>
      <c r="H114" s="130"/>
      <c r="I114" s="130"/>
    </row>
    <row r="115" ht="15.75" customHeight="1">
      <c r="A115" s="130"/>
      <c r="B115" s="130"/>
      <c r="C115" s="130"/>
      <c r="D115" s="130"/>
      <c r="E115" s="130"/>
      <c r="F115" s="130"/>
      <c r="G115" s="130"/>
      <c r="H115" s="130"/>
      <c r="I115" s="130"/>
    </row>
    <row r="116" ht="15.75" customHeight="1">
      <c r="A116" s="130"/>
      <c r="B116" s="130"/>
      <c r="C116" s="130"/>
      <c r="D116" s="130"/>
      <c r="E116" s="130"/>
      <c r="F116" s="130"/>
      <c r="G116" s="130"/>
      <c r="H116" s="130"/>
      <c r="I116" s="130"/>
    </row>
    <row r="117" ht="15.75" customHeight="1">
      <c r="A117" s="130"/>
      <c r="B117" s="130"/>
      <c r="C117" s="130"/>
      <c r="D117" s="130"/>
      <c r="E117" s="130"/>
      <c r="F117" s="130"/>
      <c r="G117" s="130"/>
      <c r="H117" s="130"/>
      <c r="I117" s="130"/>
    </row>
    <row r="118" ht="15.75" customHeight="1">
      <c r="A118" s="130"/>
      <c r="B118" s="130"/>
      <c r="C118" s="130"/>
      <c r="D118" s="130"/>
      <c r="E118" s="130"/>
      <c r="F118" s="130"/>
      <c r="G118" s="130"/>
      <c r="H118" s="130"/>
      <c r="I118" s="130"/>
    </row>
    <row r="119" ht="15.75" customHeight="1">
      <c r="A119" s="130"/>
      <c r="B119" s="130"/>
      <c r="C119" s="130"/>
      <c r="D119" s="130"/>
      <c r="E119" s="130"/>
      <c r="F119" s="130"/>
      <c r="G119" s="130"/>
      <c r="H119" s="130"/>
      <c r="I119" s="130"/>
    </row>
    <row r="120" ht="15.75" customHeight="1">
      <c r="A120" s="130"/>
      <c r="B120" s="130"/>
      <c r="C120" s="130"/>
      <c r="D120" s="130"/>
      <c r="E120" s="130"/>
      <c r="F120" s="130"/>
      <c r="G120" s="130"/>
      <c r="H120" s="130"/>
      <c r="I120" s="130"/>
    </row>
    <row r="121" ht="15.75" customHeight="1">
      <c r="A121" s="130"/>
      <c r="B121" s="130"/>
      <c r="C121" s="130"/>
      <c r="D121" s="130"/>
      <c r="E121" s="130"/>
      <c r="F121" s="130"/>
      <c r="G121" s="130"/>
      <c r="H121" s="130"/>
      <c r="I121" s="130"/>
    </row>
    <row r="122" ht="15.75" customHeight="1">
      <c r="A122" s="130"/>
      <c r="B122" s="130"/>
      <c r="C122" s="130"/>
      <c r="D122" s="130"/>
      <c r="E122" s="130"/>
      <c r="F122" s="130"/>
      <c r="G122" s="130"/>
      <c r="H122" s="130"/>
      <c r="I122" s="130"/>
    </row>
    <row r="123" ht="15.75" customHeight="1">
      <c r="A123" s="130"/>
      <c r="B123" s="130"/>
      <c r="C123" s="130"/>
      <c r="D123" s="130"/>
      <c r="E123" s="130"/>
      <c r="F123" s="130"/>
      <c r="G123" s="130"/>
      <c r="H123" s="130"/>
      <c r="I123" s="130"/>
    </row>
    <row r="124" ht="15.75" customHeight="1">
      <c r="A124" s="130"/>
      <c r="B124" s="130"/>
      <c r="C124" s="130"/>
      <c r="D124" s="130"/>
      <c r="E124" s="130"/>
      <c r="F124" s="130"/>
      <c r="G124" s="130"/>
      <c r="H124" s="130"/>
      <c r="I124" s="130"/>
    </row>
    <row r="125" ht="15.75" customHeight="1">
      <c r="A125" s="130"/>
      <c r="B125" s="130"/>
      <c r="C125" s="130"/>
      <c r="D125" s="130"/>
      <c r="E125" s="130"/>
      <c r="F125" s="130"/>
      <c r="G125" s="130"/>
      <c r="H125" s="130"/>
      <c r="I125" s="13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G61:I65"/>
    <mergeCell ref="E59:F65"/>
  </mergeCells>
  <dataValidations>
    <dataValidation type="custom" allowBlank="1" showErrorMessage="1" sqref="H21">
      <formula1>NOT(ISBLANK(#REF!))</formula1>
    </dataValidation>
    <dataValidation type="custom" allowBlank="1" showErrorMessage="1" sqref="F12">
      <formula1>NOT(ISBLANK(F11))</formula1>
    </dataValidation>
  </dataValidations>
  <printOptions gridLines="1" horizontalCentered="1"/>
  <pageMargins bottom="0.7480314960629921" footer="0.0" header="0.0" left="0.2362204724409449" right="0.2362204724409449" top="0.7480314960629921"/>
  <pageSetup fitToHeight="0" paperSize="9" cellComments="atEnd" orientation="portrait" pageOrder="overThenDown"/>
  <drawing r:id="rId1"/>
</worksheet>
</file>