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420" windowHeight="9260"/>
  </bookViews>
  <sheets>
    <sheet name="FINAL BILL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7" i="2" l="1"/>
  <c r="H71" i="2" l="1"/>
  <c r="H70" i="2"/>
  <c r="H62" i="2"/>
  <c r="H35" i="2"/>
  <c r="H34" i="2"/>
  <c r="H28" i="2"/>
  <c r="H30" i="2" l="1"/>
  <c r="H41" i="2"/>
  <c r="H26" i="2"/>
  <c r="H65" i="2" l="1"/>
  <c r="H51" i="2" l="1"/>
  <c r="H64" i="2"/>
  <c r="H61" i="2"/>
  <c r="H39" i="2"/>
  <c r="H29" i="2" l="1"/>
  <c r="H83" i="2" l="1"/>
  <c r="H82" i="2"/>
  <c r="H80" i="2"/>
  <c r="H79" i="2"/>
  <c r="H78" i="2"/>
  <c r="H76" i="2"/>
  <c r="H75" i="2"/>
  <c r="H74" i="2"/>
  <c r="H73" i="2"/>
  <c r="H69" i="2"/>
  <c r="H68" i="2"/>
  <c r="H67" i="2"/>
  <c r="H60" i="2"/>
  <c r="H58" i="2"/>
  <c r="H57" i="2"/>
  <c r="H55" i="2"/>
  <c r="H54" i="2"/>
  <c r="H53" i="2"/>
  <c r="H50" i="2"/>
  <c r="H49" i="2"/>
  <c r="H47" i="2"/>
  <c r="H44" i="2"/>
  <c r="H46" i="2"/>
  <c r="H45" i="2"/>
  <c r="H43" i="2"/>
  <c r="H40" i="2"/>
  <c r="H38" i="2"/>
  <c r="H37" i="2"/>
  <c r="H36" i="2"/>
  <c r="H33" i="2"/>
  <c r="H32" i="2"/>
  <c r="H25" i="2"/>
  <c r="H24" i="2"/>
  <c r="H23" i="2"/>
  <c r="H22" i="2"/>
  <c r="H21" i="2"/>
  <c r="H20" i="2"/>
  <c r="H86" i="2" l="1"/>
  <c r="H87" i="2" s="1"/>
  <c r="H88" i="2" s="1"/>
</calcChain>
</file>

<file path=xl/sharedStrings.xml><?xml version="1.0" encoding="utf-8"?>
<sst xmlns="http://schemas.openxmlformats.org/spreadsheetml/2006/main" count="194" uniqueCount="126">
  <si>
    <t>M/S I FOUR U ENGINEERING SERVICES</t>
  </si>
  <si>
    <t>GSTIN : 20ARNPA8397C1ZX</t>
  </si>
  <si>
    <t xml:space="preserve">INVOICE NUMBER </t>
  </si>
  <si>
    <t>Transportation Mode</t>
  </si>
  <si>
    <t>Work at site</t>
  </si>
  <si>
    <t xml:space="preserve">GSTIN : </t>
  </si>
  <si>
    <r>
      <rPr>
        <b/>
        <sz val="12"/>
        <color rgb="FF1F1F1F"/>
        <rFont val="Bookman Old Style"/>
        <family val="1"/>
      </rPr>
      <t>20ARNPA8397C1ZX</t>
    </r>
  </si>
  <si>
    <t>Vehicle No.</t>
  </si>
  <si>
    <t>N/A</t>
  </si>
  <si>
    <t>Tax is payable on reverse charge : (yes /no)</t>
  </si>
  <si>
    <t>Date and Time of supply</t>
  </si>
  <si>
    <t>INVOICE DATE</t>
  </si>
  <si>
    <t>Place of supply</t>
  </si>
  <si>
    <t>Details of Reciever (Billed to)</t>
  </si>
  <si>
    <t>Details of Consignee (Work at Site)</t>
  </si>
  <si>
    <t>Name</t>
  </si>
  <si>
    <t>Cholamandalam Investment And Finance Co. ltd</t>
  </si>
  <si>
    <t>Cholamandalam Investment And Finance Co. ltd.</t>
  </si>
  <si>
    <t>Address</t>
  </si>
  <si>
    <t>State</t>
  </si>
  <si>
    <t>State Code</t>
  </si>
  <si>
    <t>GSTIN NO.</t>
  </si>
  <si>
    <t>S NO.</t>
  </si>
  <si>
    <t>ITEM NAME</t>
  </si>
  <si>
    <t>DESCRIPTION OF THE ITEM</t>
  </si>
  <si>
    <t>SAC</t>
  </si>
  <si>
    <t>UNIT</t>
  </si>
  <si>
    <t>Price</t>
  </si>
  <si>
    <t>Quantity</t>
  </si>
  <si>
    <t>Amount</t>
  </si>
  <si>
    <t>I</t>
  </si>
  <si>
    <t>MODULAR FURNITURE</t>
  </si>
  <si>
    <t>WORKSTATIONS – 1200mm x 600mm</t>
  </si>
  <si>
    <t>MANAGER CUBICLE – 1475mm x 1475mm</t>
  </si>
  <si>
    <t>WORKSTATIONS – 1500mm x 600mm (Without hanging drawer)</t>
  </si>
  <si>
    <t>HALF/FULL  HEIGHT PARTITION – MODULAR</t>
  </si>
  <si>
    <t>HALF/FULL HEIGHT STORAGES</t>
  </si>
  <si>
    <t>SUPPLY OF DRAWER MOBILE PEDESTALS</t>
  </si>
  <si>
    <t>INTERIOR WORKS</t>
  </si>
  <si>
    <t>A</t>
  </si>
  <si>
    <t>B</t>
  </si>
  <si>
    <t>C</t>
  </si>
  <si>
    <t>ACRYLIC EMULSION PAINT</t>
  </si>
  <si>
    <t>COMPLIANCE BOARD</t>
  </si>
  <si>
    <t>WHITE BOARD</t>
  </si>
  <si>
    <t>SUPPLY AND FIXING OF MIRROR</t>
  </si>
  <si>
    <t>ELECTRICAL WORKS</t>
  </si>
  <si>
    <t>ELECTRICAL POINTS</t>
  </si>
  <si>
    <t>UPS POWER POINTS</t>
  </si>
  <si>
    <t>RAW POINTS POINTS -FOR FANS</t>
  </si>
  <si>
    <t>AC POWER POINTS</t>
  </si>
  <si>
    <t>ELECTRICAL WIRING FOR RAW,UPS,LIGHTING AND AC CIRCUIT</t>
  </si>
  <si>
    <t>Supply and laying of 2 run 2.5 Sq.mm +1 run 1.5 Sq.mm PVC insulated copper wire(FRLS) with suitable PVC conduit with all necessary accessories.</t>
  </si>
  <si>
    <t>Supply and laying of 2 run 4 Sq.mm +1 run 2.5 Sq.mm PVC insulated copper wire(FRLS) with suitable PVC conduit with all necessary accessories.</t>
  </si>
  <si>
    <t>UPS – IN AND OUT WIRING</t>
  </si>
  <si>
    <t xml:space="preserve">Supply and laying of 2 run 4 Sq.mm +1 run 1.5 Sq.mm </t>
  </si>
  <si>
    <t>UPS - IN POWER SOCKET and PRINTER POWER SOCKET</t>
  </si>
  <si>
    <t xml:space="preserve">UPS - OUT  POWER SOCKET </t>
  </si>
  <si>
    <t>EARTHING   SYSTEM</t>
  </si>
  <si>
    <t>1 RUN 6 SQMM</t>
  </si>
  <si>
    <t>Supply,  Installation,  Testing  and   Commisioning  of   80mm  dia   Ashlok  earth  electrode and chemical</t>
  </si>
  <si>
    <t>Supply and fixing of the following light fittings  36W  Recessed Mounted LED Luminaire   Make –  Crompton</t>
  </si>
  <si>
    <t xml:space="preserve">Supply and installation of 300mm dia sweep wall mounted fan . Make –  Crompton </t>
  </si>
  <si>
    <t>DB</t>
  </si>
  <si>
    <t xml:space="preserve">Supplying and Laying CAT-6 - DLink cable </t>
  </si>
  <si>
    <t>Supply and installation of RJ45 Cat-6 information outlets and face plate.</t>
  </si>
  <si>
    <t>Supply of Cat-6 Double ended Factory crimped Patch  Chords for  Data  points ( 7 ft) Rack side.</t>
  </si>
  <si>
    <t>Supply of Cat-6 Double ended Factory crimped Patch  Chords for  Data  points ( 3 ft) Computer side.</t>
  </si>
  <si>
    <t>Supply and installation of Rack   mountable,  Cat-6  24   port  modular  Jack   panels with required terminations( Fully  loaded – Straight)</t>
  </si>
  <si>
    <t>Testing ,documentation, dressing and certification of data,voice and telephone points.</t>
  </si>
  <si>
    <t>Supply and fixing of 9inch  9U  wall mounting open   Rack  Dlink</t>
  </si>
  <si>
    <t>CCTV</t>
  </si>
  <si>
    <t>CAT 6 Cable-CCTV</t>
  </si>
  <si>
    <t>Casing and Caping- CCTV</t>
  </si>
  <si>
    <t>Bank Details</t>
  </si>
  <si>
    <t>Ceritified that the particulars given above are true and correct</t>
  </si>
  <si>
    <t>Bank Name and A/C No. : HDFC BANK , 50200073035859</t>
  </si>
  <si>
    <t>For I FOUR U ENGINEERING SERVICES</t>
  </si>
  <si>
    <t xml:space="preserve">Bank IFSC and Address : HDFC0002679 , Sri Ram City Saraidhela, 828127 </t>
  </si>
  <si>
    <t>Terms and Conditions</t>
  </si>
  <si>
    <t>Common Seal</t>
  </si>
  <si>
    <t>Authorised Signatory</t>
  </si>
  <si>
    <t>Nos</t>
  </si>
  <si>
    <t>Sft</t>
  </si>
  <si>
    <t>Opening size:  1200mm x 2250mm</t>
  </si>
  <si>
    <t>RMT</t>
  </si>
  <si>
    <t>Mtrs</t>
  </si>
  <si>
    <t>nos</t>
  </si>
  <si>
    <t>TOTAL</t>
  </si>
  <si>
    <t>IGST 18%</t>
  </si>
  <si>
    <t>GRAND TOTAL</t>
  </si>
  <si>
    <t>NETWORKING-Data</t>
  </si>
  <si>
    <t>Office Address :  House No. 329, New Karmik Nagar, PO ISM, Dhanbad,
Jharkhand, 826004, Ph No. +91 7042220470</t>
  </si>
  <si>
    <t xml:space="preserve"> SEMI GLAZED Soild WOODEN PARTITION.</t>
  </si>
  <si>
    <t>Cash Counter Partition</t>
  </si>
  <si>
    <t>Single Leaf Wooden door</t>
  </si>
  <si>
    <t>Supply &amp; Fixing of Roller Blinds</t>
  </si>
  <si>
    <t>Supply and fixing of the following light fittings 1*18Watt Round Recessed Mounted LED Luminaire   Make –  Crompton</t>
  </si>
  <si>
    <t>Grid Ceiling</t>
  </si>
  <si>
    <t>Supply , Laying and Commissioning of 3.5 core , 16 sqmm FRLS Main cable</t>
  </si>
  <si>
    <t>Supply and Installation of 9" dia Exhaust fan- Crompton</t>
  </si>
  <si>
    <t>Supply and installation of 63A 4p main ELCB in sheet metal enclosure -Havells</t>
  </si>
  <si>
    <t>11/CH/FY/25-26</t>
  </si>
  <si>
    <t>Azamgarh , UP , Pin-276001</t>
  </si>
  <si>
    <t>1St Floor , Triveni Tower, No.-956, Civil  Lines, Azamgarh (UP)-276001</t>
  </si>
  <si>
    <t>Uttar Pradesh</t>
  </si>
  <si>
    <t>`09</t>
  </si>
  <si>
    <t>W/0: 19074/19.05.2025</t>
  </si>
  <si>
    <t>9th Floor ,Titanium,Plot No TC/G 1/1 Office No.-901 to 907,Shalimar Corporate Park, Gomti Nagar ,Vibhuti Khand, Lucknow (UP) Pin -226010</t>
  </si>
  <si>
    <t>09AAACC1226H1Z2</t>
  </si>
  <si>
    <t>Discussion Table -4 seater</t>
  </si>
  <si>
    <t>Gypsum Partition</t>
  </si>
  <si>
    <t>Opening size:  900mm x 2250</t>
  </si>
  <si>
    <t>Gypsum False Ceiling</t>
  </si>
  <si>
    <t xml:space="preserve"> PANELLING</t>
  </si>
  <si>
    <t xml:space="preserve">RAW POWER POINTS </t>
  </si>
  <si>
    <t>Supply and Fixing T5/28 watt LED</t>
  </si>
  <si>
    <t>FOR UPS DB - havells</t>
  </si>
  <si>
    <t>FOR RAW POWER DB- Havells</t>
  </si>
  <si>
    <t>FOR AC POWER DB - Havells</t>
  </si>
  <si>
    <t>Removing and Refixing MCB Chnageover</t>
  </si>
  <si>
    <t>8-LIGHT FITTINGS</t>
  </si>
  <si>
    <t>9-FANS</t>
  </si>
  <si>
    <t>11-A</t>
  </si>
  <si>
    <t>Supply and fixing of   Giga Switch 100/1000 MBPS -Dlink</t>
  </si>
  <si>
    <t>Total- Eighteen Lakhs Fifty Eight Thousand Five Hundred Sixty Four Rupees And Sixty Paisa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</si>
</sst>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"/>
  </numFmts>
  <fonts count="54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20"/>
      <color theme="1"/>
      <name val="Bookman Old Style"/>
      <family val="1"/>
    </font>
    <font>
      <sz val="10"/>
      <name val="Arial"/>
      <family val="2"/>
    </font>
    <font>
      <b/>
      <sz val="11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0"/>
      <color theme="1"/>
      <name val="Bookman Old Style"/>
      <family val="1"/>
    </font>
    <font>
      <b/>
      <sz val="14"/>
      <color theme="1"/>
      <name val="Calibri"/>
      <family val="2"/>
    </font>
    <font>
      <b/>
      <sz val="12"/>
      <color rgb="FF0E2841"/>
      <name val="Aptos Narrow"/>
    </font>
    <font>
      <b/>
      <sz val="20"/>
      <color rgb="FFFFFFFF"/>
      <name val="Bookman Old Style"/>
      <family val="1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ptos Narrow"/>
    </font>
    <font>
      <b/>
      <sz val="11"/>
      <color rgb="FF00000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ptos Narrow"/>
    </font>
    <font>
      <sz val="11"/>
      <color rgb="FF000000"/>
      <name val="Arial"/>
      <family val="2"/>
    </font>
    <font>
      <sz val="13"/>
      <color theme="1"/>
      <name val="Arial"/>
      <family val="2"/>
    </font>
    <font>
      <sz val="13"/>
      <color theme="1"/>
      <name val="Aptos Narrow"/>
    </font>
    <font>
      <sz val="11"/>
      <color rgb="FF000000"/>
      <name val="Calibri"/>
      <family val="2"/>
    </font>
    <font>
      <sz val="10"/>
      <color theme="1"/>
      <name val="Aptos Narrow"/>
    </font>
    <font>
      <b/>
      <sz val="13"/>
      <color theme="1"/>
      <name val="Aptos Narrow"/>
    </font>
    <font>
      <b/>
      <sz val="10"/>
      <color theme="1"/>
      <name val="Aptos Narrow"/>
    </font>
    <font>
      <b/>
      <sz val="12"/>
      <color theme="1"/>
      <name val="Aptos Narrow"/>
    </font>
    <font>
      <b/>
      <sz val="10"/>
      <color rgb="FF000000"/>
      <name val="Arial"/>
      <family val="2"/>
    </font>
    <font>
      <sz val="11"/>
      <color theme="1"/>
      <name val="Arial"/>
      <family val="2"/>
    </font>
    <font>
      <b/>
      <sz val="13"/>
      <color theme="1"/>
      <name val="Arial"/>
      <family val="2"/>
    </font>
    <font>
      <b/>
      <sz val="14"/>
      <color theme="1"/>
      <name val="Arial"/>
      <family val="2"/>
    </font>
    <font>
      <b/>
      <sz val="15"/>
      <color theme="1"/>
      <name val="Arial"/>
      <family val="2"/>
    </font>
    <font>
      <sz val="14"/>
      <color theme="1"/>
      <name val="Arial"/>
      <family val="2"/>
    </font>
    <font>
      <sz val="9"/>
      <color theme="1"/>
      <name val="Calibri"/>
      <family val="2"/>
    </font>
    <font>
      <sz val="7"/>
      <color theme="1"/>
      <name val="Calibri"/>
      <family val="2"/>
    </font>
    <font>
      <b/>
      <sz val="15"/>
      <color theme="1"/>
      <name val="Calibri"/>
      <family val="2"/>
    </font>
    <font>
      <b/>
      <sz val="12"/>
      <color rgb="FF1F1F1F"/>
      <name val="Bookman Old Style"/>
      <family val="1"/>
    </font>
    <font>
      <sz val="12"/>
      <color theme="1"/>
      <name val="Arial"/>
      <family val="2"/>
    </font>
    <font>
      <sz val="12"/>
      <color theme="1"/>
      <name val="Aptos Narrow"/>
    </font>
    <font>
      <sz val="13"/>
      <color theme="1"/>
      <name val="Arial"/>
      <family val="2"/>
    </font>
    <font>
      <b/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ptos Narrow"/>
      <family val="2"/>
    </font>
    <font>
      <sz val="12"/>
      <color rgb="FF000000"/>
      <name val="Arial"/>
      <family val="2"/>
    </font>
    <font>
      <b/>
      <sz val="10"/>
      <color theme="1"/>
      <name val="Aptos Narrow"/>
      <family val="2"/>
    </font>
    <font>
      <b/>
      <sz val="12"/>
      <color rgb="FF0E2841"/>
      <name val="Arial"/>
      <family val="2"/>
    </font>
    <font>
      <b/>
      <sz val="1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2"/>
      <color rgb="FF000000"/>
      <name val="Calibri"/>
      <family val="2"/>
    </font>
    <font>
      <sz val="14"/>
      <name val="Arial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sz val="12"/>
      <name val="Arial"/>
      <family val="2"/>
    </font>
    <font>
      <sz val="13"/>
      <name val="Aptos Narrow"/>
    </font>
    <font>
      <b/>
      <i/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ADB9CA"/>
        <bgColor rgb="FFADB9CA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Border="1"/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164" fontId="5" fillId="0" borderId="2" xfId="0" applyNumberFormat="1" applyFont="1" applyBorder="1" applyAlignment="1">
      <alignment horizontal="left"/>
    </xf>
    <xf numFmtId="0" fontId="4" fillId="0" borderId="2" xfId="0" applyFont="1" applyBorder="1" applyAlignment="1">
      <alignment vertical="top"/>
    </xf>
    <xf numFmtId="0" fontId="1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left"/>
    </xf>
    <xf numFmtId="0" fontId="12" fillId="0" borderId="2" xfId="0" applyFont="1" applyBorder="1" applyAlignment="1">
      <alignment horizontal="center" wrapText="1"/>
    </xf>
    <xf numFmtId="0" fontId="13" fillId="0" borderId="2" xfId="0" applyFont="1" applyBorder="1" applyAlignment="1">
      <alignment horizontal="center" wrapText="1"/>
    </xf>
    <xf numFmtId="0" fontId="13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 wrapText="1"/>
    </xf>
    <xf numFmtId="0" fontId="15" fillId="0" borderId="2" xfId="0" applyFont="1" applyBorder="1"/>
    <xf numFmtId="0" fontId="16" fillId="0" borderId="2" xfId="0" applyFont="1" applyBorder="1"/>
    <xf numFmtId="0" fontId="16" fillId="0" borderId="2" xfId="0" applyFont="1" applyBorder="1" applyAlignment="1">
      <alignment horizontal="center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center" wrapText="1"/>
    </xf>
    <xf numFmtId="0" fontId="19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20" fillId="0" borderId="2" xfId="0" applyFont="1" applyBorder="1" applyAlignment="1">
      <alignment horizontal="left" vertical="center" wrapText="1"/>
    </xf>
    <xf numFmtId="0" fontId="19" fillId="3" borderId="2" xfId="0" applyFont="1" applyFill="1" applyBorder="1" applyAlignment="1">
      <alignment horizontal="center"/>
    </xf>
    <xf numFmtId="0" fontId="18" fillId="3" borderId="2" xfId="0" applyFont="1" applyFill="1" applyBorder="1" applyAlignment="1">
      <alignment horizontal="center"/>
    </xf>
    <xf numFmtId="0" fontId="21" fillId="3" borderId="2" xfId="0" applyFont="1" applyFill="1" applyBorder="1" applyAlignment="1">
      <alignment horizontal="center" wrapText="1"/>
    </xf>
    <xf numFmtId="0" fontId="19" fillId="0" borderId="2" xfId="0" applyFont="1" applyBorder="1"/>
    <xf numFmtId="0" fontId="21" fillId="0" borderId="2" xfId="0" applyFont="1" applyBorder="1" applyAlignment="1">
      <alignment horizontal="center"/>
    </xf>
    <xf numFmtId="0" fontId="35" fillId="0" borderId="2" xfId="0" applyFont="1" applyBorder="1" applyAlignment="1">
      <alignment horizontal="center"/>
    </xf>
    <xf numFmtId="0" fontId="23" fillId="0" borderId="2" xfId="0" applyFont="1" applyBorder="1" applyAlignment="1">
      <alignment horizontal="center" wrapText="1"/>
    </xf>
    <xf numFmtId="0" fontId="22" fillId="0" borderId="2" xfId="0" applyFont="1" applyBorder="1" applyAlignment="1">
      <alignment horizontal="right" wrapText="1"/>
    </xf>
    <xf numFmtId="0" fontId="21" fillId="0" borderId="2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36" fillId="0" borderId="2" xfId="0" applyFont="1" applyBorder="1" applyAlignment="1">
      <alignment horizontal="center"/>
    </xf>
    <xf numFmtId="0" fontId="22" fillId="0" borderId="2" xfId="0" applyFont="1" applyBorder="1" applyAlignment="1">
      <alignment horizontal="right"/>
    </xf>
    <xf numFmtId="0" fontId="17" fillId="0" borderId="2" xfId="0" applyFont="1" applyBorder="1" applyAlignment="1">
      <alignment horizontal="left" vertical="top" wrapText="1"/>
    </xf>
    <xf numFmtId="0" fontId="25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/>
    </xf>
    <xf numFmtId="0" fontId="26" fillId="0" borderId="2" xfId="0" applyFont="1" applyBorder="1" applyAlignment="1">
      <alignment vertical="top" wrapText="1"/>
    </xf>
    <xf numFmtId="0" fontId="17" fillId="0" borderId="2" xfId="0" applyFont="1" applyBorder="1" applyAlignment="1">
      <alignment wrapText="1"/>
    </xf>
    <xf numFmtId="0" fontId="26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/>
    </xf>
    <xf numFmtId="0" fontId="27" fillId="0" borderId="2" xfId="0" applyFont="1" applyBorder="1" applyAlignment="1">
      <alignment horizontal="right"/>
    </xf>
    <xf numFmtId="0" fontId="12" fillId="0" borderId="2" xfId="0" applyFont="1" applyBorder="1" applyAlignment="1">
      <alignment horizontal="left" vertical="center" wrapText="1"/>
    </xf>
    <xf numFmtId="0" fontId="28" fillId="0" borderId="2" xfId="0" applyFont="1" applyBorder="1"/>
    <xf numFmtId="0" fontId="1" fillId="0" borderId="2" xfId="0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0" fontId="30" fillId="0" borderId="2" xfId="0" applyFont="1" applyBorder="1"/>
    <xf numFmtId="0" fontId="33" fillId="0" borderId="2" xfId="0" applyFont="1" applyBorder="1"/>
    <xf numFmtId="0" fontId="7" fillId="0" borderId="2" xfId="0" applyFont="1" applyBorder="1"/>
    <xf numFmtId="0" fontId="15" fillId="0" borderId="2" xfId="0" applyFont="1" applyBorder="1" applyAlignment="1">
      <alignment horizontal="center"/>
    </xf>
    <xf numFmtId="0" fontId="33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10" fillId="0" borderId="2" xfId="0" applyFont="1" applyBorder="1" applyAlignment="1">
      <alignment horizontal="center" vertical="top"/>
    </xf>
    <xf numFmtId="0" fontId="38" fillId="0" borderId="2" xfId="0" applyFont="1" applyBorder="1"/>
    <xf numFmtId="0" fontId="38" fillId="5" borderId="2" xfId="0" applyFont="1" applyFill="1" applyBorder="1" applyAlignment="1">
      <alignment horizontal="center"/>
    </xf>
    <xf numFmtId="0" fontId="40" fillId="0" borderId="2" xfId="0" applyFont="1" applyBorder="1" applyAlignment="1">
      <alignment horizontal="center" wrapText="1"/>
    </xf>
    <xf numFmtId="0" fontId="42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45" fillId="0" borderId="2" xfId="0" applyFont="1" applyBorder="1" applyAlignment="1">
      <alignment horizontal="left" vertical="center" wrapText="1"/>
    </xf>
    <xf numFmtId="0" fontId="46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horizontal="left" vertical="center" wrapText="1"/>
    </xf>
    <xf numFmtId="0" fontId="41" fillId="0" borderId="2" xfId="0" applyFont="1" applyBorder="1" applyAlignment="1">
      <alignment horizontal="left" vertical="center" wrapText="1"/>
    </xf>
    <xf numFmtId="0" fontId="39" fillId="0" borderId="2" xfId="0" applyFont="1" applyBorder="1"/>
    <xf numFmtId="0" fontId="4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49" fillId="0" borderId="3" xfId="0" applyFont="1" applyFill="1" applyBorder="1" applyAlignment="1">
      <alignment horizontal="left" vertical="center" wrapText="1"/>
    </xf>
    <xf numFmtId="0" fontId="50" fillId="0" borderId="6" xfId="0" applyFont="1" applyBorder="1" applyAlignment="1">
      <alignment horizontal="left" vertical="top" wrapText="1"/>
    </xf>
    <xf numFmtId="2" fontId="51" fillId="6" borderId="2" xfId="0" applyNumberFormat="1" applyFont="1" applyFill="1" applyBorder="1" applyAlignment="1">
      <alignment horizontal="center"/>
    </xf>
    <xf numFmtId="0" fontId="16" fillId="6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2" xfId="0" applyFont="1" applyBorder="1"/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1" fillId="0" borderId="2" xfId="0" applyFont="1" applyBorder="1"/>
    <xf numFmtId="0" fontId="2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vertical="top" wrapText="1"/>
    </xf>
    <xf numFmtId="49" fontId="43" fillId="3" borderId="2" xfId="0" applyNumberFormat="1" applyFont="1" applyFill="1" applyBorder="1" applyAlignment="1">
      <alignment horizontal="left" vertical="top" wrapText="1"/>
    </xf>
    <xf numFmtId="0" fontId="44" fillId="0" borderId="2" xfId="0" applyFont="1" applyBorder="1"/>
    <xf numFmtId="0" fontId="8" fillId="2" borderId="2" xfId="0" applyFont="1" applyFill="1" applyBorder="1" applyAlignment="1">
      <alignment horizontal="left" vertical="top"/>
    </xf>
    <xf numFmtId="0" fontId="29" fillId="0" borderId="2" xfId="0" applyFont="1" applyBorder="1" applyAlignment="1">
      <alignment horizontal="center"/>
    </xf>
    <xf numFmtId="0" fontId="30" fillId="0" borderId="2" xfId="0" applyFont="1" applyBorder="1"/>
    <xf numFmtId="0" fontId="31" fillId="0" borderId="2" xfId="0" applyFont="1" applyBorder="1" applyAlignment="1">
      <alignment horizontal="center"/>
    </xf>
    <xf numFmtId="0" fontId="33" fillId="0" borderId="2" xfId="0" applyFont="1" applyBorder="1"/>
    <xf numFmtId="0" fontId="7" fillId="4" borderId="2" xfId="0" applyFont="1" applyFill="1" applyBorder="1" applyAlignment="1">
      <alignment horizontal="center"/>
    </xf>
    <xf numFmtId="0" fontId="7" fillId="0" borderId="2" xfId="0" applyFont="1" applyBorder="1"/>
    <xf numFmtId="0" fontId="48" fillId="0" borderId="2" xfId="0" applyFont="1" applyBorder="1"/>
    <xf numFmtId="0" fontId="33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52" fillId="0" borderId="2" xfId="0" applyFont="1" applyBorder="1" applyAlignment="1">
      <alignment horizontal="center"/>
    </xf>
    <xf numFmtId="0" fontId="5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655320</xdr:colOff>
      <xdr:row>0</xdr:row>
      <xdr:rowOff>7620</xdr:rowOff>
    </xdr:from>
    <xdr:ext cx="1263650" cy="1390650"/>
    <xdr:pic>
      <xdr:nvPicPr>
        <xdr:cNvPr id="2" name="image1.jp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5320" y="7620"/>
          <a:ext cx="1263650" cy="13906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P1005"/>
  <sheetViews>
    <sheetView tabSelected="1" topLeftCell="B1" workbookViewId="0">
      <selection activeCell="C98" sqref="C98"/>
    </sheetView>
  </sheetViews>
  <sheetFormatPr defaultColWidth="12.6328125" defaultRowHeight="15" customHeight="1"/>
  <cols>
    <col min="1" max="1" width="9.90625" customWidth="1"/>
    <col min="2" max="2" width="17.90625" customWidth="1"/>
    <col min="3" max="3" width="59" customWidth="1"/>
    <col min="4" max="6" width="12.6328125" customWidth="1"/>
    <col min="8" max="8" width="33.6328125" style="8" customWidth="1"/>
  </cols>
  <sheetData>
    <row r="1" spans="1:16" ht="40.5" customHeight="1">
      <c r="A1" s="9"/>
      <c r="B1" s="83"/>
      <c r="C1" s="84" t="s">
        <v>0</v>
      </c>
      <c r="D1" s="80"/>
      <c r="E1" s="80"/>
      <c r="F1" s="80"/>
      <c r="G1" s="80"/>
      <c r="H1" s="80"/>
      <c r="I1" s="1"/>
    </row>
    <row r="2" spans="1:16" ht="68.5" customHeight="1">
      <c r="A2" s="9"/>
      <c r="B2" s="80"/>
      <c r="C2" s="85" t="s">
        <v>92</v>
      </c>
      <c r="D2" s="86"/>
      <c r="E2" s="86"/>
      <c r="F2" s="86"/>
      <c r="G2" s="86"/>
      <c r="H2" s="86"/>
      <c r="I2" s="1"/>
    </row>
    <row r="3" spans="1:16" ht="16.5" customHeight="1">
      <c r="A3" s="10"/>
      <c r="B3" s="87" t="s">
        <v>1</v>
      </c>
      <c r="C3" s="80"/>
      <c r="D3" s="80"/>
      <c r="E3" s="80"/>
      <c r="F3" s="80"/>
      <c r="G3" s="80"/>
      <c r="H3" s="80"/>
      <c r="I3" s="2"/>
    </row>
    <row r="4" spans="1:16" ht="15.75" customHeight="1">
      <c r="A4" s="11"/>
      <c r="B4" s="11" t="s">
        <v>2</v>
      </c>
      <c r="C4" s="72" t="s">
        <v>102</v>
      </c>
      <c r="D4" s="12"/>
      <c r="E4" s="79" t="s">
        <v>3</v>
      </c>
      <c r="F4" s="80"/>
      <c r="G4" s="81" t="s">
        <v>4</v>
      </c>
      <c r="H4" s="80"/>
      <c r="I4" s="3"/>
    </row>
    <row r="5" spans="1:16" ht="15.75" customHeight="1">
      <c r="A5" s="10"/>
      <c r="B5" s="10" t="s">
        <v>5</v>
      </c>
      <c r="C5" s="66" t="s">
        <v>6</v>
      </c>
      <c r="D5" s="12"/>
      <c r="E5" s="79" t="s">
        <v>7</v>
      </c>
      <c r="F5" s="80"/>
      <c r="G5" s="81" t="s">
        <v>8</v>
      </c>
      <c r="H5" s="80"/>
      <c r="I5" s="3"/>
    </row>
    <row r="6" spans="1:16" ht="15.75" customHeight="1">
      <c r="A6" s="13"/>
      <c r="B6" s="82" t="s">
        <v>9</v>
      </c>
      <c r="C6" s="80"/>
      <c r="D6" s="12"/>
      <c r="E6" s="79" t="s">
        <v>10</v>
      </c>
      <c r="F6" s="80"/>
      <c r="G6" s="88" t="s">
        <v>4</v>
      </c>
      <c r="H6" s="80"/>
      <c r="I6" s="3"/>
    </row>
    <row r="7" spans="1:16" ht="15.75" customHeight="1">
      <c r="A7" s="11"/>
      <c r="B7" s="11" t="s">
        <v>11</v>
      </c>
      <c r="C7" s="14">
        <v>45859</v>
      </c>
      <c r="D7" s="12"/>
      <c r="E7" s="79" t="s">
        <v>12</v>
      </c>
      <c r="F7" s="80"/>
      <c r="G7" s="15" t="s">
        <v>103</v>
      </c>
      <c r="H7" s="16"/>
    </row>
    <row r="8" spans="1:16" ht="15.75" customHeight="1">
      <c r="A8" s="12"/>
      <c r="B8" s="12"/>
      <c r="C8" s="12"/>
      <c r="D8" s="12"/>
      <c r="E8" s="79"/>
      <c r="F8" s="80"/>
      <c r="G8" s="84"/>
      <c r="H8" s="80"/>
    </row>
    <row r="9" spans="1:16" ht="15.75" customHeight="1">
      <c r="A9" s="13"/>
      <c r="B9" s="82" t="s">
        <v>13</v>
      </c>
      <c r="C9" s="80"/>
      <c r="D9" s="12"/>
      <c r="E9" s="82" t="s">
        <v>14</v>
      </c>
      <c r="F9" s="80"/>
      <c r="G9" s="80"/>
      <c r="H9" s="80"/>
    </row>
    <row r="10" spans="1:16" ht="15.75" customHeight="1">
      <c r="A10" s="10"/>
      <c r="B10" s="10" t="s">
        <v>15</v>
      </c>
      <c r="C10" s="17" t="s">
        <v>16</v>
      </c>
      <c r="D10" s="12"/>
      <c r="E10" s="10" t="s">
        <v>15</v>
      </c>
      <c r="F10" s="95" t="s">
        <v>17</v>
      </c>
      <c r="G10" s="80"/>
      <c r="H10" s="80"/>
      <c r="I10" s="4"/>
      <c r="J10" s="4"/>
      <c r="K10" s="4"/>
      <c r="L10" s="4"/>
      <c r="M10" s="4"/>
      <c r="N10" s="4"/>
      <c r="O10" s="4"/>
      <c r="P10" s="4"/>
    </row>
    <row r="11" spans="1:16" ht="15.75" customHeight="1">
      <c r="A11" s="10"/>
      <c r="B11" s="10" t="s">
        <v>18</v>
      </c>
      <c r="C11" s="91" t="s">
        <v>108</v>
      </c>
      <c r="D11" s="12"/>
      <c r="E11" s="10" t="s">
        <v>18</v>
      </c>
      <c r="F11" s="93" t="s">
        <v>104</v>
      </c>
      <c r="G11" s="94"/>
      <c r="H11" s="94"/>
    </row>
    <row r="12" spans="1:16" ht="36" customHeight="1">
      <c r="A12" s="10"/>
      <c r="B12" s="10"/>
      <c r="C12" s="92"/>
      <c r="D12" s="12"/>
      <c r="E12" s="10"/>
      <c r="F12" s="94"/>
      <c r="G12" s="94"/>
      <c r="H12" s="94"/>
    </row>
    <row r="13" spans="1:16" ht="15.75" customHeight="1">
      <c r="A13" s="10"/>
      <c r="B13" s="10" t="s">
        <v>19</v>
      </c>
      <c r="C13" s="89" t="s">
        <v>105</v>
      </c>
      <c r="D13" s="80"/>
      <c r="E13" s="80"/>
      <c r="F13" s="89" t="s">
        <v>105</v>
      </c>
      <c r="G13" s="80"/>
      <c r="H13" s="80"/>
    </row>
    <row r="14" spans="1:16" ht="15.75" customHeight="1">
      <c r="A14" s="10"/>
      <c r="B14" s="10" t="s">
        <v>20</v>
      </c>
      <c r="C14" s="13" t="s">
        <v>106</v>
      </c>
      <c r="D14" s="12"/>
      <c r="E14" s="10" t="s">
        <v>20</v>
      </c>
      <c r="F14" s="82" t="s">
        <v>106</v>
      </c>
      <c r="G14" s="80"/>
      <c r="H14" s="80"/>
    </row>
    <row r="15" spans="1:16" ht="15.75" customHeight="1" thickBot="1">
      <c r="A15" s="10"/>
      <c r="B15" s="10" t="s">
        <v>21</v>
      </c>
      <c r="C15" s="76" t="s">
        <v>109</v>
      </c>
      <c r="D15" s="12"/>
      <c r="E15" s="10" t="s">
        <v>21</v>
      </c>
      <c r="F15" s="90" t="s">
        <v>109</v>
      </c>
      <c r="G15" s="80"/>
      <c r="H15" s="80"/>
    </row>
    <row r="16" spans="1:16" ht="15.75" customHeight="1">
      <c r="A16" s="12"/>
      <c r="B16" s="82" t="s">
        <v>107</v>
      </c>
      <c r="C16" s="80"/>
      <c r="D16" s="12"/>
      <c r="E16" s="12"/>
      <c r="F16" s="12"/>
      <c r="G16" s="12"/>
      <c r="H16" s="12"/>
    </row>
    <row r="17" spans="1:8" ht="15.75" customHeight="1">
      <c r="A17" s="12"/>
      <c r="B17" s="12"/>
      <c r="C17" s="12"/>
      <c r="D17" s="12"/>
      <c r="E17" s="12"/>
      <c r="F17" s="12"/>
      <c r="G17" s="12"/>
      <c r="H17" s="12"/>
    </row>
    <row r="18" spans="1:8" ht="15.75" customHeight="1">
      <c r="A18" s="18" t="s">
        <v>22</v>
      </c>
      <c r="B18" s="19" t="s">
        <v>23</v>
      </c>
      <c r="C18" s="19" t="s">
        <v>24</v>
      </c>
      <c r="D18" s="18" t="s">
        <v>25</v>
      </c>
      <c r="E18" s="20" t="s">
        <v>26</v>
      </c>
      <c r="F18" s="20" t="s">
        <v>27</v>
      </c>
      <c r="G18" s="20" t="s">
        <v>28</v>
      </c>
      <c r="H18" s="20" t="s">
        <v>29</v>
      </c>
    </row>
    <row r="19" spans="1:8" ht="43.5" customHeight="1">
      <c r="A19" s="21" t="s">
        <v>30</v>
      </c>
      <c r="B19" s="21" t="s">
        <v>31</v>
      </c>
      <c r="C19" s="22"/>
      <c r="D19" s="23"/>
      <c r="E19" s="23"/>
      <c r="F19" s="20"/>
      <c r="G19" s="23"/>
      <c r="H19" s="24"/>
    </row>
    <row r="20" spans="1:8" ht="21.75" customHeight="1">
      <c r="A20" s="22"/>
      <c r="B20" s="25">
        <v>1</v>
      </c>
      <c r="C20" s="26" t="s">
        <v>32</v>
      </c>
      <c r="D20" s="27">
        <v>998391</v>
      </c>
      <c r="E20" s="28" t="s">
        <v>82</v>
      </c>
      <c r="F20" s="28">
        <v>4807</v>
      </c>
      <c r="G20" s="29">
        <v>18</v>
      </c>
      <c r="H20" s="24">
        <f>G20*F20</f>
        <v>86526</v>
      </c>
    </row>
    <row r="21" spans="1:8" ht="22.5" customHeight="1">
      <c r="A21" s="22"/>
      <c r="B21" s="27">
        <v>2</v>
      </c>
      <c r="C21" s="26" t="s">
        <v>33</v>
      </c>
      <c r="D21" s="27">
        <v>998391</v>
      </c>
      <c r="E21" s="28" t="s">
        <v>82</v>
      </c>
      <c r="F21" s="28">
        <v>6010</v>
      </c>
      <c r="G21" s="29">
        <v>1</v>
      </c>
      <c r="H21" s="24">
        <f>G21*F21</f>
        <v>6010</v>
      </c>
    </row>
    <row r="22" spans="1:8" ht="19.5" customHeight="1">
      <c r="A22" s="22"/>
      <c r="B22" s="27">
        <v>3</v>
      </c>
      <c r="C22" s="30" t="s">
        <v>34</v>
      </c>
      <c r="D22" s="27">
        <v>998391</v>
      </c>
      <c r="E22" s="28" t="s">
        <v>82</v>
      </c>
      <c r="F22" s="28">
        <v>9361</v>
      </c>
      <c r="G22" s="29">
        <v>1</v>
      </c>
      <c r="H22" s="24">
        <f>G22*F22</f>
        <v>9361</v>
      </c>
    </row>
    <row r="23" spans="1:8" ht="19.5" customHeight="1">
      <c r="A23" s="22"/>
      <c r="B23" s="27">
        <v>4</v>
      </c>
      <c r="C23" s="26" t="s">
        <v>35</v>
      </c>
      <c r="D23" s="27">
        <v>998391</v>
      </c>
      <c r="E23" s="28" t="s">
        <v>83</v>
      </c>
      <c r="F23" s="28">
        <v>419</v>
      </c>
      <c r="G23" s="29">
        <v>196</v>
      </c>
      <c r="H23" s="24">
        <f>G23*F23</f>
        <v>82124</v>
      </c>
    </row>
    <row r="24" spans="1:8" ht="15.75" customHeight="1">
      <c r="A24" s="22"/>
      <c r="B24" s="27">
        <v>5</v>
      </c>
      <c r="C24" s="26" t="s">
        <v>36</v>
      </c>
      <c r="D24" s="27">
        <v>998391</v>
      </c>
      <c r="E24" s="28" t="s">
        <v>83</v>
      </c>
      <c r="F24" s="28">
        <v>823</v>
      </c>
      <c r="G24" s="29">
        <v>129</v>
      </c>
      <c r="H24" s="24">
        <f>F24*G24</f>
        <v>106167</v>
      </c>
    </row>
    <row r="25" spans="1:8" ht="15.75" customHeight="1">
      <c r="A25" s="22"/>
      <c r="B25" s="27">
        <v>6</v>
      </c>
      <c r="C25" s="26" t="s">
        <v>37</v>
      </c>
      <c r="D25" s="27">
        <v>998391</v>
      </c>
      <c r="E25" s="28" t="s">
        <v>83</v>
      </c>
      <c r="F25" s="28">
        <v>4048</v>
      </c>
      <c r="G25" s="28">
        <v>20</v>
      </c>
      <c r="H25" s="24">
        <f>F25*G25</f>
        <v>80960</v>
      </c>
    </row>
    <row r="26" spans="1:8" ht="15.75" customHeight="1">
      <c r="A26" s="22"/>
      <c r="B26" s="27">
        <v>7</v>
      </c>
      <c r="C26" s="75" t="s">
        <v>110</v>
      </c>
      <c r="D26" s="27">
        <v>998391</v>
      </c>
      <c r="E26" s="28" t="s">
        <v>83</v>
      </c>
      <c r="F26" s="28">
        <v>8223</v>
      </c>
      <c r="G26" s="28">
        <v>1</v>
      </c>
      <c r="H26" s="24">
        <f>G26*F26</f>
        <v>8223</v>
      </c>
    </row>
    <row r="27" spans="1:8" ht="27.65" customHeight="1">
      <c r="A27" s="27">
        <v>2</v>
      </c>
      <c r="B27" s="21" t="s">
        <v>38</v>
      </c>
      <c r="C27" s="71"/>
      <c r="D27" s="27"/>
      <c r="E27" s="28"/>
      <c r="F27" s="28"/>
      <c r="G27" s="28"/>
      <c r="H27" s="24"/>
    </row>
    <row r="28" spans="1:8" ht="27.65" customHeight="1">
      <c r="A28" s="27"/>
      <c r="B28" s="21">
        <v>1</v>
      </c>
      <c r="C28" s="71" t="s">
        <v>111</v>
      </c>
      <c r="D28" s="27">
        <v>998391</v>
      </c>
      <c r="E28" s="28" t="s">
        <v>83</v>
      </c>
      <c r="F28" s="28">
        <v>152</v>
      </c>
      <c r="G28" s="28">
        <v>460.8</v>
      </c>
      <c r="H28" s="24">
        <f>G28*F28</f>
        <v>70041.600000000006</v>
      </c>
    </row>
    <row r="29" spans="1:8" ht="15.75" customHeight="1">
      <c r="A29" s="22"/>
      <c r="B29" s="27">
        <v>2</v>
      </c>
      <c r="C29" s="70" t="s">
        <v>93</v>
      </c>
      <c r="D29" s="27">
        <v>998391</v>
      </c>
      <c r="E29" s="28" t="s">
        <v>83</v>
      </c>
      <c r="F29" s="77">
        <v>354</v>
      </c>
      <c r="G29" s="28">
        <v>347.4</v>
      </c>
      <c r="H29" s="24">
        <f>G29*F29</f>
        <v>122979.59999999999</v>
      </c>
    </row>
    <row r="30" spans="1:8" ht="15.75" customHeight="1">
      <c r="A30" s="22"/>
      <c r="B30" s="27">
        <v>3</v>
      </c>
      <c r="C30" s="70" t="s">
        <v>94</v>
      </c>
      <c r="D30" s="27">
        <v>998391</v>
      </c>
      <c r="E30" s="31" t="s">
        <v>83</v>
      </c>
      <c r="F30" s="32">
        <v>354</v>
      </c>
      <c r="G30" s="31">
        <v>411</v>
      </c>
      <c r="H30" s="24">
        <f>G30*F30</f>
        <v>145494</v>
      </c>
    </row>
    <row r="31" spans="1:8" ht="15.75" customHeight="1">
      <c r="A31" s="22"/>
      <c r="B31" s="27">
        <v>4</v>
      </c>
      <c r="C31" s="70" t="s">
        <v>95</v>
      </c>
      <c r="D31" s="27"/>
      <c r="E31" s="31"/>
      <c r="F31" s="32"/>
      <c r="G31" s="31"/>
      <c r="H31" s="24"/>
    </row>
    <row r="32" spans="1:8" ht="15.75" customHeight="1">
      <c r="A32" s="27"/>
      <c r="B32" s="33" t="s">
        <v>39</v>
      </c>
      <c r="C32" s="70" t="s">
        <v>84</v>
      </c>
      <c r="D32" s="27">
        <v>998391</v>
      </c>
      <c r="E32" s="31" t="s">
        <v>82</v>
      </c>
      <c r="F32" s="32">
        <v>14168</v>
      </c>
      <c r="G32" s="31">
        <v>1</v>
      </c>
      <c r="H32" s="24">
        <f t="shared" ref="H32:H40" si="0">G32*F32</f>
        <v>14168</v>
      </c>
    </row>
    <row r="33" spans="1:8" ht="15.75" customHeight="1">
      <c r="A33" s="34"/>
      <c r="B33" s="35" t="s">
        <v>40</v>
      </c>
      <c r="C33" s="70" t="s">
        <v>112</v>
      </c>
      <c r="D33" s="27">
        <v>998391</v>
      </c>
      <c r="E33" s="28" t="s">
        <v>82</v>
      </c>
      <c r="F33" s="28">
        <v>13283</v>
      </c>
      <c r="G33" s="28">
        <v>5</v>
      </c>
      <c r="H33" s="78">
        <f t="shared" si="0"/>
        <v>66415</v>
      </c>
    </row>
    <row r="34" spans="1:8" ht="15.75" customHeight="1">
      <c r="A34" s="34"/>
      <c r="B34" s="35">
        <v>5</v>
      </c>
      <c r="C34" s="70" t="s">
        <v>113</v>
      </c>
      <c r="D34" s="27">
        <v>998391</v>
      </c>
      <c r="E34" s="31" t="s">
        <v>83</v>
      </c>
      <c r="F34" s="28">
        <v>76</v>
      </c>
      <c r="G34" s="105">
        <v>296</v>
      </c>
      <c r="H34" s="24">
        <f t="shared" si="0"/>
        <v>22496</v>
      </c>
    </row>
    <row r="35" spans="1:8" ht="15.75" customHeight="1">
      <c r="A35" s="34"/>
      <c r="B35" s="35">
        <v>6</v>
      </c>
      <c r="C35" s="70" t="s">
        <v>98</v>
      </c>
      <c r="D35" s="27">
        <v>998391</v>
      </c>
      <c r="E35" s="31" t="s">
        <v>83</v>
      </c>
      <c r="F35" s="28">
        <v>108</v>
      </c>
      <c r="G35" s="28">
        <v>839</v>
      </c>
      <c r="H35" s="24">
        <f t="shared" si="0"/>
        <v>90612</v>
      </c>
    </row>
    <row r="36" spans="1:8" ht="15.75" customHeight="1">
      <c r="A36" s="28"/>
      <c r="B36" s="28">
        <v>7</v>
      </c>
      <c r="C36" s="70" t="s">
        <v>42</v>
      </c>
      <c r="D36" s="27">
        <v>998391</v>
      </c>
      <c r="E36" s="36" t="s">
        <v>83</v>
      </c>
      <c r="F36" s="36">
        <v>20</v>
      </c>
      <c r="G36" s="36">
        <v>6189</v>
      </c>
      <c r="H36" s="24">
        <f t="shared" si="0"/>
        <v>123780</v>
      </c>
    </row>
    <row r="37" spans="1:8" ht="15.75" customHeight="1">
      <c r="A37" s="34"/>
      <c r="B37" s="28">
        <v>8</v>
      </c>
      <c r="C37" s="70" t="s">
        <v>43</v>
      </c>
      <c r="D37" s="27">
        <v>998391</v>
      </c>
      <c r="E37" s="36" t="s">
        <v>83</v>
      </c>
      <c r="F37" s="36">
        <v>348</v>
      </c>
      <c r="G37" s="36">
        <v>12</v>
      </c>
      <c r="H37" s="24">
        <f t="shared" si="0"/>
        <v>4176</v>
      </c>
    </row>
    <row r="38" spans="1:8" ht="15.75" customHeight="1">
      <c r="A38" s="34"/>
      <c r="B38" s="28">
        <v>9</v>
      </c>
      <c r="C38" s="70" t="s">
        <v>44</v>
      </c>
      <c r="D38" s="27">
        <v>998391</v>
      </c>
      <c r="E38" s="36" t="s">
        <v>83</v>
      </c>
      <c r="F38" s="36">
        <v>348</v>
      </c>
      <c r="G38" s="36">
        <v>24</v>
      </c>
      <c r="H38" s="24">
        <f t="shared" si="0"/>
        <v>8352</v>
      </c>
    </row>
    <row r="39" spans="1:8" ht="15.75" customHeight="1">
      <c r="A39" s="34"/>
      <c r="B39" s="28">
        <v>10</v>
      </c>
      <c r="C39" s="70" t="s">
        <v>96</v>
      </c>
      <c r="D39" s="27">
        <v>998391</v>
      </c>
      <c r="E39" s="36" t="s">
        <v>83</v>
      </c>
      <c r="F39" s="36">
        <v>132</v>
      </c>
      <c r="G39" s="36">
        <v>192.5</v>
      </c>
      <c r="H39" s="24">
        <f t="shared" si="0"/>
        <v>25410</v>
      </c>
    </row>
    <row r="40" spans="1:8" ht="15.75" customHeight="1">
      <c r="A40" s="34"/>
      <c r="B40" s="28">
        <v>11</v>
      </c>
      <c r="C40" s="70" t="s">
        <v>45</v>
      </c>
      <c r="D40" s="27">
        <v>998391</v>
      </c>
      <c r="E40" s="36" t="s">
        <v>83</v>
      </c>
      <c r="F40" s="36">
        <v>350</v>
      </c>
      <c r="G40" s="36">
        <v>12</v>
      </c>
      <c r="H40" s="24">
        <f t="shared" si="0"/>
        <v>4200</v>
      </c>
    </row>
    <row r="41" spans="1:8" ht="15.75" customHeight="1">
      <c r="A41" s="34"/>
      <c r="B41" s="28">
        <v>12</v>
      </c>
      <c r="C41" s="70" t="s">
        <v>114</v>
      </c>
      <c r="D41" s="27">
        <v>998391</v>
      </c>
      <c r="E41" s="36" t="s">
        <v>83</v>
      </c>
      <c r="F41" s="36">
        <v>266</v>
      </c>
      <c r="G41" s="36">
        <v>352.97</v>
      </c>
      <c r="H41" s="24">
        <f>G41*F41</f>
        <v>93890.02</v>
      </c>
    </row>
    <row r="42" spans="1:8" ht="36" customHeight="1">
      <c r="A42" s="28">
        <v>3</v>
      </c>
      <c r="B42" s="64" t="s">
        <v>46</v>
      </c>
      <c r="C42" s="26">
        <v>296</v>
      </c>
      <c r="D42" s="38"/>
      <c r="E42" s="9"/>
      <c r="F42" s="9"/>
      <c r="G42" s="9"/>
      <c r="H42" s="24"/>
    </row>
    <row r="43" spans="1:8" ht="15.75" customHeight="1">
      <c r="A43" s="28"/>
      <c r="B43" s="37">
        <v>1</v>
      </c>
      <c r="C43" s="26" t="s">
        <v>47</v>
      </c>
      <c r="D43" s="27">
        <v>998391</v>
      </c>
      <c r="E43" s="36" t="s">
        <v>82</v>
      </c>
      <c r="F43" s="36">
        <v>506</v>
      </c>
      <c r="G43" s="36">
        <v>25</v>
      </c>
      <c r="H43" s="24">
        <f>G43*F43</f>
        <v>12650</v>
      </c>
    </row>
    <row r="44" spans="1:8" ht="15.75" customHeight="1">
      <c r="A44" s="28"/>
      <c r="B44" s="37">
        <v>2</v>
      </c>
      <c r="C44" s="26" t="s">
        <v>49</v>
      </c>
      <c r="D44" s="27">
        <v>998391</v>
      </c>
      <c r="E44" s="36" t="s">
        <v>82</v>
      </c>
      <c r="F44" s="36">
        <v>633</v>
      </c>
      <c r="G44" s="36">
        <v>11</v>
      </c>
      <c r="H44" s="24">
        <f>G44*F44</f>
        <v>6963</v>
      </c>
    </row>
    <row r="45" spans="1:8" ht="15.75" customHeight="1">
      <c r="A45" s="28"/>
      <c r="B45" s="37">
        <v>3</v>
      </c>
      <c r="C45" s="26" t="s">
        <v>48</v>
      </c>
      <c r="D45" s="27">
        <v>998391</v>
      </c>
      <c r="E45" s="36" t="s">
        <v>82</v>
      </c>
      <c r="F45" s="36">
        <v>734</v>
      </c>
      <c r="G45" s="36">
        <v>6</v>
      </c>
      <c r="H45" s="24">
        <f>G45*F45</f>
        <v>4404</v>
      </c>
    </row>
    <row r="46" spans="1:8" ht="15.75" customHeight="1">
      <c r="A46" s="28"/>
      <c r="B46" s="37">
        <v>4</v>
      </c>
      <c r="C46" s="26" t="s">
        <v>115</v>
      </c>
      <c r="D46" s="27">
        <v>998391</v>
      </c>
      <c r="E46" s="36" t="s">
        <v>82</v>
      </c>
      <c r="F46" s="36">
        <v>633</v>
      </c>
      <c r="G46" s="36">
        <v>25</v>
      </c>
      <c r="H46" s="24">
        <f>G46*F46</f>
        <v>15825</v>
      </c>
    </row>
    <row r="47" spans="1:8" ht="15.75" customHeight="1">
      <c r="A47" s="28"/>
      <c r="B47" s="37">
        <v>5</v>
      </c>
      <c r="C47" s="26" t="s">
        <v>50</v>
      </c>
      <c r="D47" s="27">
        <v>998391</v>
      </c>
      <c r="E47" s="36" t="s">
        <v>82</v>
      </c>
      <c r="F47" s="36">
        <v>950</v>
      </c>
      <c r="G47" s="36">
        <v>5</v>
      </c>
      <c r="H47" s="24">
        <f>G47*F47</f>
        <v>4750</v>
      </c>
    </row>
    <row r="48" spans="1:8" ht="31.75" customHeight="1">
      <c r="A48" s="28"/>
      <c r="B48" s="37">
        <v>6</v>
      </c>
      <c r="C48" s="26" t="s">
        <v>51</v>
      </c>
      <c r="D48" s="22"/>
      <c r="E48" s="9"/>
      <c r="F48" s="9"/>
      <c r="G48" s="73"/>
      <c r="H48" s="24"/>
    </row>
    <row r="49" spans="1:8" ht="51" customHeight="1">
      <c r="A49" s="28"/>
      <c r="B49" s="39" t="s">
        <v>39</v>
      </c>
      <c r="C49" s="26" t="s">
        <v>52</v>
      </c>
      <c r="D49" s="27">
        <v>998391</v>
      </c>
      <c r="E49" s="36" t="s">
        <v>85</v>
      </c>
      <c r="F49" s="36">
        <v>132</v>
      </c>
      <c r="G49" s="36">
        <v>507</v>
      </c>
      <c r="H49" s="24">
        <f>G49*F49</f>
        <v>66924</v>
      </c>
    </row>
    <row r="50" spans="1:8" ht="57.65" customHeight="1">
      <c r="A50" s="28"/>
      <c r="B50" s="39" t="s">
        <v>40</v>
      </c>
      <c r="C50" s="26" t="s">
        <v>53</v>
      </c>
      <c r="D50" s="27">
        <v>998391</v>
      </c>
      <c r="E50" s="36" t="s">
        <v>85</v>
      </c>
      <c r="F50" s="36">
        <v>177</v>
      </c>
      <c r="G50" s="36">
        <v>336</v>
      </c>
      <c r="H50" s="24">
        <f>G50*F50</f>
        <v>59472</v>
      </c>
    </row>
    <row r="51" spans="1:8" ht="57.65" customHeight="1">
      <c r="A51" s="28"/>
      <c r="B51" s="39" t="s">
        <v>41</v>
      </c>
      <c r="C51" s="67" t="s">
        <v>99</v>
      </c>
      <c r="D51" s="27">
        <v>998391</v>
      </c>
      <c r="E51" s="36" t="s">
        <v>85</v>
      </c>
      <c r="F51" s="36">
        <v>493</v>
      </c>
      <c r="G51" s="36">
        <v>55</v>
      </c>
      <c r="H51" s="78">
        <f>G51*F51</f>
        <v>27115</v>
      </c>
    </row>
    <row r="52" spans="1:8" ht="15.75" customHeight="1">
      <c r="A52" s="28"/>
      <c r="B52" s="40">
        <v>7</v>
      </c>
      <c r="C52" s="26" t="s">
        <v>54</v>
      </c>
      <c r="D52" s="38"/>
      <c r="E52" s="9"/>
      <c r="F52" s="9"/>
      <c r="G52" s="73"/>
      <c r="H52" s="24"/>
    </row>
    <row r="53" spans="1:8" ht="15.75" customHeight="1">
      <c r="A53" s="28"/>
      <c r="B53" s="39" t="s">
        <v>39</v>
      </c>
      <c r="C53" s="26" t="s">
        <v>55</v>
      </c>
      <c r="D53" s="27">
        <v>998391</v>
      </c>
      <c r="E53" s="36" t="s">
        <v>85</v>
      </c>
      <c r="F53" s="36">
        <v>304</v>
      </c>
      <c r="G53" s="36">
        <v>5</v>
      </c>
      <c r="H53" s="24">
        <f>G53*F53</f>
        <v>1520</v>
      </c>
    </row>
    <row r="54" spans="1:8" ht="15.75" customHeight="1">
      <c r="A54" s="28"/>
      <c r="B54" s="39" t="s">
        <v>40</v>
      </c>
      <c r="C54" s="26" t="s">
        <v>56</v>
      </c>
      <c r="D54" s="27">
        <v>998391</v>
      </c>
      <c r="E54" s="36" t="s">
        <v>82</v>
      </c>
      <c r="F54" s="36">
        <v>734</v>
      </c>
      <c r="G54" s="36">
        <v>2</v>
      </c>
      <c r="H54" s="24">
        <f>G54*F54</f>
        <v>1468</v>
      </c>
    </row>
    <row r="55" spans="1:8" ht="15.75" customHeight="1">
      <c r="A55" s="34"/>
      <c r="B55" s="35" t="s">
        <v>41</v>
      </c>
      <c r="C55" s="26" t="s">
        <v>57</v>
      </c>
      <c r="D55" s="27">
        <v>998391</v>
      </c>
      <c r="E55" s="41" t="s">
        <v>82</v>
      </c>
      <c r="F55" s="41">
        <v>633</v>
      </c>
      <c r="G55" s="41">
        <v>1</v>
      </c>
      <c r="H55" s="24">
        <f>G55*F55</f>
        <v>633</v>
      </c>
    </row>
    <row r="56" spans="1:8" ht="15.75" customHeight="1">
      <c r="A56" s="34"/>
      <c r="B56" s="28">
        <v>8</v>
      </c>
      <c r="C56" s="68" t="s">
        <v>58</v>
      </c>
      <c r="D56" s="27"/>
      <c r="E56" s="42"/>
      <c r="F56" s="9"/>
      <c r="G56" s="9"/>
      <c r="H56" s="24"/>
    </row>
    <row r="57" spans="1:8" ht="15.75" customHeight="1">
      <c r="A57" s="34"/>
      <c r="B57" s="35" t="s">
        <v>39</v>
      </c>
      <c r="C57" s="43" t="s">
        <v>59</v>
      </c>
      <c r="D57" s="27">
        <v>998391</v>
      </c>
      <c r="E57" s="28" t="s">
        <v>86</v>
      </c>
      <c r="F57" s="36">
        <v>101</v>
      </c>
      <c r="G57" s="36">
        <v>50</v>
      </c>
      <c r="H57" s="24">
        <f>G57*F57</f>
        <v>5050</v>
      </c>
    </row>
    <row r="58" spans="1:8" ht="40.25" customHeight="1">
      <c r="A58" s="34"/>
      <c r="B58" s="35" t="s">
        <v>40</v>
      </c>
      <c r="C58" s="26" t="s">
        <v>60</v>
      </c>
      <c r="D58" s="27">
        <v>998391</v>
      </c>
      <c r="E58" s="28" t="s">
        <v>82</v>
      </c>
      <c r="F58" s="36">
        <v>7590</v>
      </c>
      <c r="G58" s="36">
        <v>1</v>
      </c>
      <c r="H58" s="24">
        <f>G58*F58</f>
        <v>7590</v>
      </c>
    </row>
    <row r="59" spans="1:8" ht="15.75" customHeight="1">
      <c r="A59" s="28">
        <v>4</v>
      </c>
      <c r="B59" s="44" t="s">
        <v>121</v>
      </c>
      <c r="C59" s="22"/>
      <c r="D59" s="34"/>
      <c r="E59" s="42"/>
      <c r="F59" s="9"/>
      <c r="G59" s="9"/>
      <c r="H59" s="24"/>
    </row>
    <row r="60" spans="1:8" ht="33.65" customHeight="1">
      <c r="A60" s="34"/>
      <c r="B60" s="74" t="s">
        <v>39</v>
      </c>
      <c r="C60" s="26" t="s">
        <v>61</v>
      </c>
      <c r="D60" s="27">
        <v>998391</v>
      </c>
      <c r="E60" s="41" t="s">
        <v>82</v>
      </c>
      <c r="F60" s="36">
        <v>2875</v>
      </c>
      <c r="G60" s="36">
        <v>19</v>
      </c>
      <c r="H60" s="24">
        <f>G60*F60</f>
        <v>54625</v>
      </c>
    </row>
    <row r="61" spans="1:8" ht="33.65" customHeight="1">
      <c r="A61" s="34"/>
      <c r="B61" s="74" t="s">
        <v>40</v>
      </c>
      <c r="C61" s="67" t="s">
        <v>97</v>
      </c>
      <c r="D61" s="27">
        <v>998391</v>
      </c>
      <c r="E61" s="41" t="s">
        <v>82</v>
      </c>
      <c r="F61" s="36">
        <v>863</v>
      </c>
      <c r="G61" s="36">
        <v>9</v>
      </c>
      <c r="H61" s="24">
        <f>G61*F61</f>
        <v>7767</v>
      </c>
    </row>
    <row r="62" spans="1:8" ht="33.65" customHeight="1">
      <c r="A62" s="34"/>
      <c r="B62" s="74" t="s">
        <v>41</v>
      </c>
      <c r="C62" s="26" t="s">
        <v>116</v>
      </c>
      <c r="D62" s="27">
        <v>998391</v>
      </c>
      <c r="E62" s="41" t="s">
        <v>82</v>
      </c>
      <c r="F62" s="36">
        <v>460</v>
      </c>
      <c r="G62" s="36">
        <v>6</v>
      </c>
      <c r="H62" s="24">
        <f>G62*F62</f>
        <v>2760</v>
      </c>
    </row>
    <row r="63" spans="1:8" ht="15.75" customHeight="1">
      <c r="A63" s="28">
        <v>5</v>
      </c>
      <c r="B63" s="21" t="s">
        <v>122</v>
      </c>
      <c r="C63" s="22"/>
      <c r="D63" s="34"/>
      <c r="E63" s="42"/>
      <c r="F63" s="36"/>
      <c r="G63" s="36"/>
      <c r="H63" s="24"/>
    </row>
    <row r="64" spans="1:8" ht="37.25" customHeight="1">
      <c r="A64" s="34"/>
      <c r="B64" s="74">
        <v>1</v>
      </c>
      <c r="C64" s="26" t="s">
        <v>62</v>
      </c>
      <c r="D64" s="27">
        <v>998391</v>
      </c>
      <c r="E64" s="28" t="s">
        <v>82</v>
      </c>
      <c r="F64" s="36">
        <v>2720</v>
      </c>
      <c r="G64" s="36">
        <v>11</v>
      </c>
      <c r="H64" s="24">
        <f>G64*F64</f>
        <v>29920</v>
      </c>
    </row>
    <row r="65" spans="1:8" ht="37.25" customHeight="1">
      <c r="A65" s="34"/>
      <c r="B65" s="74">
        <v>2</v>
      </c>
      <c r="C65" s="26" t="s">
        <v>100</v>
      </c>
      <c r="D65" s="27">
        <v>998391</v>
      </c>
      <c r="E65" s="28" t="s">
        <v>82</v>
      </c>
      <c r="F65" s="36">
        <v>1580</v>
      </c>
      <c r="G65" s="36">
        <v>3</v>
      </c>
      <c r="H65" s="24">
        <f>F65*G65</f>
        <v>4740</v>
      </c>
    </row>
    <row r="66" spans="1:8" ht="15.75" customHeight="1">
      <c r="A66" s="34"/>
      <c r="B66" s="45" t="s">
        <v>63</v>
      </c>
      <c r="C66" s="26"/>
      <c r="D66" s="34"/>
      <c r="E66" s="42"/>
      <c r="F66" s="9"/>
      <c r="G66" s="9"/>
      <c r="H66" s="24"/>
    </row>
    <row r="67" spans="1:8" ht="30.65" customHeight="1">
      <c r="A67" s="28"/>
      <c r="B67" s="28">
        <v>10</v>
      </c>
      <c r="C67" s="46" t="s">
        <v>101</v>
      </c>
      <c r="D67" s="27">
        <v>998391</v>
      </c>
      <c r="E67" s="28" t="s">
        <v>82</v>
      </c>
      <c r="F67" s="36">
        <v>8193</v>
      </c>
      <c r="G67" s="36">
        <v>1</v>
      </c>
      <c r="H67" s="24">
        <f>G67*F67</f>
        <v>8193</v>
      </c>
    </row>
    <row r="68" spans="1:8" ht="15.75" customHeight="1">
      <c r="A68" s="28"/>
      <c r="B68" s="28" t="s">
        <v>123</v>
      </c>
      <c r="C68" s="47" t="s">
        <v>117</v>
      </c>
      <c r="D68" s="27">
        <v>998391</v>
      </c>
      <c r="E68" s="28" t="s">
        <v>82</v>
      </c>
      <c r="F68" s="36">
        <v>7475</v>
      </c>
      <c r="G68" s="36">
        <v>1</v>
      </c>
      <c r="H68" s="24">
        <f>G68*F68</f>
        <v>7475</v>
      </c>
    </row>
    <row r="69" spans="1:8" ht="15.75" customHeight="1">
      <c r="A69" s="28"/>
      <c r="B69" s="28" t="s">
        <v>40</v>
      </c>
      <c r="C69" s="48" t="s">
        <v>118</v>
      </c>
      <c r="D69" s="27">
        <v>998391</v>
      </c>
      <c r="E69" s="49" t="s">
        <v>82</v>
      </c>
      <c r="F69" s="36">
        <v>10925</v>
      </c>
      <c r="G69" s="36">
        <v>1</v>
      </c>
      <c r="H69" s="24">
        <f>G69*F69</f>
        <v>10925</v>
      </c>
    </row>
    <row r="70" spans="1:8" ht="15.75" customHeight="1">
      <c r="A70" s="28"/>
      <c r="B70" s="28" t="s">
        <v>41</v>
      </c>
      <c r="C70" s="48" t="s">
        <v>119</v>
      </c>
      <c r="D70" s="28">
        <v>998391</v>
      </c>
      <c r="E70" s="29" t="s">
        <v>82</v>
      </c>
      <c r="F70" s="53">
        <v>8625</v>
      </c>
      <c r="G70" s="53">
        <v>1</v>
      </c>
      <c r="H70" s="24">
        <f>F70*G70</f>
        <v>8625</v>
      </c>
    </row>
    <row r="71" spans="1:8" ht="15.75" customHeight="1">
      <c r="A71" s="28"/>
      <c r="B71" s="28">
        <v>12</v>
      </c>
      <c r="C71" s="48" t="s">
        <v>120</v>
      </c>
      <c r="D71" s="28">
        <v>998391</v>
      </c>
      <c r="E71" s="29" t="s">
        <v>82</v>
      </c>
      <c r="F71" s="53">
        <v>1200</v>
      </c>
      <c r="G71" s="53">
        <v>1</v>
      </c>
      <c r="H71" s="24">
        <f>F71*G71</f>
        <v>1200</v>
      </c>
    </row>
    <row r="72" spans="1:8" ht="15.75" customHeight="1">
      <c r="A72" s="28">
        <v>6</v>
      </c>
      <c r="B72" s="65" t="s">
        <v>91</v>
      </c>
      <c r="C72" s="48"/>
      <c r="D72" s="34"/>
      <c r="E72" s="50"/>
      <c r="F72" s="9"/>
      <c r="G72" s="9"/>
      <c r="H72" s="24"/>
    </row>
    <row r="73" spans="1:8" ht="15.75" customHeight="1">
      <c r="A73" s="28"/>
      <c r="B73" s="28">
        <v>1</v>
      </c>
      <c r="C73" s="48" t="s">
        <v>64</v>
      </c>
      <c r="D73" s="27">
        <v>998391</v>
      </c>
      <c r="E73" s="49" t="s">
        <v>86</v>
      </c>
      <c r="F73" s="36">
        <v>35</v>
      </c>
      <c r="G73" s="36">
        <v>166.23</v>
      </c>
      <c r="H73" s="24">
        <f t="shared" ref="H73:H80" si="1">G73*F73</f>
        <v>5818.0499999999993</v>
      </c>
    </row>
    <row r="74" spans="1:8" ht="33" customHeight="1">
      <c r="A74" s="28"/>
      <c r="B74" s="28">
        <v>2</v>
      </c>
      <c r="C74" s="26" t="s">
        <v>65</v>
      </c>
      <c r="D74" s="27">
        <v>998391</v>
      </c>
      <c r="E74" s="49" t="s">
        <v>82</v>
      </c>
      <c r="F74" s="36">
        <v>374</v>
      </c>
      <c r="G74" s="36">
        <v>6</v>
      </c>
      <c r="H74" s="24">
        <f t="shared" si="1"/>
        <v>2244</v>
      </c>
    </row>
    <row r="75" spans="1:8" ht="41.4" customHeight="1">
      <c r="A75" s="28"/>
      <c r="B75" s="28">
        <v>3</v>
      </c>
      <c r="C75" s="26" t="s">
        <v>66</v>
      </c>
      <c r="D75" s="27">
        <v>998391</v>
      </c>
      <c r="E75" s="49" t="s">
        <v>82</v>
      </c>
      <c r="F75" s="36">
        <v>173</v>
      </c>
      <c r="G75" s="36">
        <v>6</v>
      </c>
      <c r="H75" s="24">
        <f t="shared" si="1"/>
        <v>1038</v>
      </c>
    </row>
    <row r="76" spans="1:8" ht="36.65" customHeight="1">
      <c r="A76" s="28"/>
      <c r="B76" s="28">
        <v>4</v>
      </c>
      <c r="C76" s="26" t="s">
        <v>67</v>
      </c>
      <c r="D76" s="27">
        <v>998391</v>
      </c>
      <c r="E76" s="49" t="s">
        <v>82</v>
      </c>
      <c r="F76" s="36">
        <v>127</v>
      </c>
      <c r="G76" s="36">
        <v>6</v>
      </c>
      <c r="H76" s="24">
        <f t="shared" si="1"/>
        <v>762</v>
      </c>
    </row>
    <row r="77" spans="1:8" ht="64.25" customHeight="1">
      <c r="A77" s="28"/>
      <c r="B77" s="28">
        <v>5</v>
      </c>
      <c r="C77" s="26" t="s">
        <v>68</v>
      </c>
      <c r="D77" s="27">
        <v>998391</v>
      </c>
      <c r="E77" s="49" t="s">
        <v>82</v>
      </c>
      <c r="F77" s="36">
        <v>6578</v>
      </c>
      <c r="G77" s="36">
        <v>1</v>
      </c>
      <c r="H77" s="24">
        <f>F77*G77</f>
        <v>6578</v>
      </c>
    </row>
    <row r="78" spans="1:8" ht="29.4" customHeight="1">
      <c r="A78" s="28"/>
      <c r="B78" s="28">
        <v>6</v>
      </c>
      <c r="C78" s="26" t="s">
        <v>69</v>
      </c>
      <c r="D78" s="27">
        <v>998391</v>
      </c>
      <c r="E78" s="49" t="s">
        <v>82</v>
      </c>
      <c r="F78" s="36">
        <v>152</v>
      </c>
      <c r="G78" s="36">
        <v>6</v>
      </c>
      <c r="H78" s="24">
        <f t="shared" si="1"/>
        <v>912</v>
      </c>
    </row>
    <row r="79" spans="1:8" ht="15.75" customHeight="1">
      <c r="A79" s="28"/>
      <c r="B79" s="28">
        <v>7</v>
      </c>
      <c r="C79" s="69" t="s">
        <v>70</v>
      </c>
      <c r="D79" s="27">
        <v>998391</v>
      </c>
      <c r="E79" s="49" t="s">
        <v>82</v>
      </c>
      <c r="F79" s="36">
        <v>10500</v>
      </c>
      <c r="G79" s="36">
        <v>1</v>
      </c>
      <c r="H79" s="24">
        <f t="shared" si="1"/>
        <v>10500</v>
      </c>
    </row>
    <row r="80" spans="1:8" ht="15.75" customHeight="1">
      <c r="A80" s="28"/>
      <c r="B80" s="28">
        <v>8</v>
      </c>
      <c r="C80" s="26" t="s">
        <v>124</v>
      </c>
      <c r="D80" s="27">
        <v>998391</v>
      </c>
      <c r="E80" s="49" t="s">
        <v>87</v>
      </c>
      <c r="F80" s="36">
        <v>12500</v>
      </c>
      <c r="G80" s="36">
        <v>1</v>
      </c>
      <c r="H80" s="24">
        <f t="shared" si="1"/>
        <v>12500</v>
      </c>
    </row>
    <row r="81" spans="1:9" ht="15.75" customHeight="1">
      <c r="A81" s="28">
        <v>7</v>
      </c>
      <c r="B81" s="20" t="s">
        <v>71</v>
      </c>
      <c r="C81" s="48"/>
      <c r="D81" s="34"/>
      <c r="E81" s="49"/>
      <c r="F81" s="36"/>
      <c r="G81" s="36"/>
      <c r="H81" s="24"/>
    </row>
    <row r="82" spans="1:9" ht="15.75" customHeight="1">
      <c r="A82" s="28"/>
      <c r="B82" s="28">
        <v>1</v>
      </c>
      <c r="C82" s="48" t="s">
        <v>72</v>
      </c>
      <c r="D82" s="27">
        <v>998391</v>
      </c>
      <c r="E82" s="49" t="s">
        <v>85</v>
      </c>
      <c r="F82" s="36">
        <v>38</v>
      </c>
      <c r="G82" s="36">
        <v>157.08000000000001</v>
      </c>
      <c r="H82" s="24">
        <f>G82*F82</f>
        <v>5969.0400000000009</v>
      </c>
    </row>
    <row r="83" spans="1:9" ht="15.75" customHeight="1">
      <c r="A83" s="34"/>
      <c r="B83" s="28">
        <v>2</v>
      </c>
      <c r="C83" s="48" t="s">
        <v>73</v>
      </c>
      <c r="D83" s="27">
        <v>998391</v>
      </c>
      <c r="E83" s="28" t="s">
        <v>85</v>
      </c>
      <c r="F83" s="41">
        <v>43</v>
      </c>
      <c r="G83" s="41">
        <v>157.08000000000001</v>
      </c>
      <c r="H83" s="24">
        <f>G83*F83</f>
        <v>6754.4400000000005</v>
      </c>
    </row>
    <row r="84" spans="1:9" ht="15.75" customHeight="1">
      <c r="A84" s="34"/>
      <c r="B84" s="28"/>
      <c r="C84" s="48"/>
      <c r="D84" s="27"/>
      <c r="E84" s="28"/>
      <c r="F84" s="41"/>
      <c r="G84" s="41"/>
      <c r="H84" s="24"/>
    </row>
    <row r="85" spans="1:9" ht="15.75" customHeight="1">
      <c r="A85" s="34"/>
      <c r="B85" s="28"/>
      <c r="C85" s="48"/>
      <c r="D85" s="27"/>
      <c r="E85" s="28"/>
      <c r="F85" s="41"/>
      <c r="G85" s="41"/>
      <c r="H85" s="24"/>
    </row>
    <row r="86" spans="1:9" ht="15.75" customHeight="1">
      <c r="A86" s="34"/>
      <c r="B86" s="34"/>
      <c r="C86" s="51"/>
      <c r="D86" s="34"/>
      <c r="E86" s="42"/>
      <c r="F86" s="42"/>
      <c r="G86" s="45" t="s">
        <v>88</v>
      </c>
      <c r="H86" s="45">
        <f>SUM(H19:H85)</f>
        <v>1575054.75</v>
      </c>
    </row>
    <row r="87" spans="1:9" ht="15.75" customHeight="1">
      <c r="A87" s="34"/>
      <c r="B87" s="34"/>
      <c r="C87" s="51"/>
      <c r="D87" s="34"/>
      <c r="E87" s="42"/>
      <c r="F87" s="42"/>
      <c r="G87" s="42" t="s">
        <v>89</v>
      </c>
      <c r="H87" s="45">
        <f>H86*18%</f>
        <v>283509.85499999998</v>
      </c>
    </row>
    <row r="88" spans="1:9" ht="21" customHeight="1">
      <c r="A88" s="34"/>
      <c r="B88" s="34"/>
      <c r="C88" s="34"/>
      <c r="D88" s="34"/>
      <c r="E88" s="34"/>
      <c r="F88" s="62" t="s">
        <v>90</v>
      </c>
      <c r="H88" s="63">
        <f>H87+H86</f>
        <v>1858564.605</v>
      </c>
    </row>
    <row r="89" spans="1:9" ht="31" customHeight="1">
      <c r="A89" s="52"/>
      <c r="B89" s="52"/>
      <c r="C89" s="106" t="s">
        <v>125</v>
      </c>
      <c r="D89" s="9"/>
      <c r="E89" s="9"/>
      <c r="F89" s="9"/>
      <c r="G89" s="9"/>
      <c r="H89" s="53"/>
    </row>
    <row r="90" spans="1:9" ht="15.75" customHeight="1">
      <c r="A90" s="54"/>
      <c r="B90" s="96" t="s">
        <v>74</v>
      </c>
      <c r="C90" s="80"/>
      <c r="D90" s="55"/>
      <c r="E90" s="97"/>
      <c r="F90" s="80"/>
      <c r="G90" s="98" t="s">
        <v>75</v>
      </c>
      <c r="H90" s="80"/>
      <c r="I90" s="5"/>
    </row>
    <row r="91" spans="1:9" ht="15.75" customHeight="1">
      <c r="A91" s="56"/>
      <c r="B91" s="99" t="s">
        <v>76</v>
      </c>
      <c r="C91" s="80"/>
      <c r="D91" s="55"/>
      <c r="E91" s="80"/>
      <c r="F91" s="80"/>
      <c r="G91" s="100" t="s">
        <v>77</v>
      </c>
      <c r="H91" s="80"/>
      <c r="I91" s="6"/>
    </row>
    <row r="92" spans="1:9" ht="15.75" customHeight="1">
      <c r="A92" s="56"/>
      <c r="B92" s="101" t="s">
        <v>78</v>
      </c>
      <c r="C92" s="102"/>
      <c r="D92" s="55"/>
      <c r="E92" s="80"/>
      <c r="F92" s="80"/>
      <c r="G92" s="57"/>
      <c r="H92" s="58"/>
    </row>
    <row r="93" spans="1:9" ht="15.75" customHeight="1">
      <c r="A93" s="59"/>
      <c r="B93" s="103" t="s">
        <v>79</v>
      </c>
      <c r="C93" s="80"/>
      <c r="D93" s="55"/>
      <c r="E93" s="80"/>
      <c r="F93" s="80"/>
      <c r="G93" s="9"/>
      <c r="H93" s="58"/>
    </row>
    <row r="94" spans="1:9" ht="15.75" customHeight="1">
      <c r="A94" s="59"/>
      <c r="B94" s="80"/>
      <c r="C94" s="80"/>
      <c r="D94" s="55"/>
      <c r="E94" s="80"/>
      <c r="F94" s="80"/>
      <c r="G94" s="9"/>
      <c r="H94" s="58"/>
    </row>
    <row r="95" spans="1:9" ht="15.75" customHeight="1">
      <c r="A95" s="59"/>
      <c r="B95" s="80"/>
      <c r="C95" s="80"/>
      <c r="D95" s="55"/>
      <c r="E95" s="80"/>
      <c r="F95" s="80"/>
      <c r="G95" s="9"/>
      <c r="H95" s="58"/>
    </row>
    <row r="96" spans="1:9" ht="15.75" customHeight="1">
      <c r="A96" s="59"/>
      <c r="B96" s="80"/>
      <c r="C96" s="80"/>
      <c r="D96" s="55"/>
      <c r="E96" s="80"/>
      <c r="F96" s="80"/>
      <c r="G96" s="9"/>
      <c r="H96" s="58"/>
    </row>
    <row r="97" spans="1:9" ht="15.75" customHeight="1">
      <c r="A97" s="59"/>
      <c r="B97" s="80"/>
      <c r="C97" s="80"/>
      <c r="D97" s="60"/>
      <c r="E97" s="104" t="s">
        <v>80</v>
      </c>
      <c r="F97" s="80"/>
      <c r="G97" s="100" t="s">
        <v>81</v>
      </c>
      <c r="H97" s="80"/>
      <c r="I97" s="6"/>
    </row>
    <row r="98" spans="1:9" ht="15.75" customHeight="1">
      <c r="A98" s="61"/>
      <c r="B98" s="61"/>
      <c r="C98" s="61"/>
      <c r="D98" s="61"/>
      <c r="E98" s="61"/>
      <c r="F98" s="61"/>
      <c r="G98" s="61"/>
      <c r="H98" s="61"/>
    </row>
    <row r="99" spans="1:9" ht="15.75" customHeight="1">
      <c r="A99" s="7"/>
      <c r="B99" s="7"/>
      <c r="C99" s="7"/>
      <c r="D99" s="7"/>
      <c r="E99" s="7"/>
      <c r="F99" s="7"/>
      <c r="G99" s="7"/>
      <c r="H99" s="7"/>
    </row>
    <row r="100" spans="1:9" ht="15.75" customHeight="1">
      <c r="A100" s="7"/>
      <c r="B100" s="7"/>
      <c r="C100" s="7"/>
      <c r="D100" s="7"/>
      <c r="E100" s="7"/>
      <c r="F100" s="7"/>
      <c r="G100" s="7"/>
      <c r="H100" s="7"/>
    </row>
    <row r="101" spans="1:9" ht="15.75" customHeight="1"/>
    <row r="102" spans="1:9" ht="15.75" customHeight="1"/>
    <row r="103" spans="1:9" ht="15.75" customHeight="1"/>
    <row r="104" spans="1:9" ht="15.75" customHeight="1"/>
    <row r="105" spans="1:9" ht="15.75" customHeight="1"/>
    <row r="106" spans="1:9" ht="15.75" customHeight="1"/>
    <row r="107" spans="1:9" ht="15.75" customHeight="1"/>
    <row r="108" spans="1:9" ht="15.75" customHeight="1"/>
    <row r="109" spans="1:9" ht="15.75" customHeight="1"/>
    <row r="110" spans="1:9" ht="15.7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33">
    <mergeCell ref="B90:C90"/>
    <mergeCell ref="E90:F96"/>
    <mergeCell ref="G90:H90"/>
    <mergeCell ref="B91:C91"/>
    <mergeCell ref="G91:H91"/>
    <mergeCell ref="B92:C92"/>
    <mergeCell ref="B93:C97"/>
    <mergeCell ref="E97:F97"/>
    <mergeCell ref="G97:H97"/>
    <mergeCell ref="F10:H10"/>
    <mergeCell ref="E7:F7"/>
    <mergeCell ref="E8:F8"/>
    <mergeCell ref="G8:H8"/>
    <mergeCell ref="B9:C9"/>
    <mergeCell ref="E9:H9"/>
    <mergeCell ref="F13:H13"/>
    <mergeCell ref="F14:H14"/>
    <mergeCell ref="F15:H15"/>
    <mergeCell ref="B16:C16"/>
    <mergeCell ref="C11:C12"/>
    <mergeCell ref="F11:H12"/>
    <mergeCell ref="C13:E13"/>
    <mergeCell ref="E5:F5"/>
    <mergeCell ref="G5:H5"/>
    <mergeCell ref="B6:C6"/>
    <mergeCell ref="E6:F6"/>
    <mergeCell ref="B1:B2"/>
    <mergeCell ref="C1:H1"/>
    <mergeCell ref="C2:H2"/>
    <mergeCell ref="B3:H3"/>
    <mergeCell ref="E4:F4"/>
    <mergeCell ref="G4:H4"/>
    <mergeCell ref="G6:H6"/>
  </mergeCells>
  <dataValidations disablePrompts="1" count="2">
    <dataValidation type="custom" allowBlank="1" showErrorMessage="1" sqref="F11">
      <formula1>NOT(ISBLANK(F10))</formula1>
    </dataValidation>
    <dataValidation type="custom" allowBlank="1" showErrorMessage="1" sqref="G20">
      <formula1>NOT(ISBLANK(#REF!))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BILL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parag anand</dc:creator>
  <cp:lastModifiedBy>admin</cp:lastModifiedBy>
  <dcterms:created xsi:type="dcterms:W3CDTF">2024-12-03T13:59:15Z</dcterms:created>
  <dcterms:modified xsi:type="dcterms:W3CDTF">2025-07-21T09:46:03Z</dcterms:modified>
</cp:coreProperties>
</file>