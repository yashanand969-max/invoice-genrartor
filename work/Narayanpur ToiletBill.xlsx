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Toilet-Bill" sheetId="1" r:id="rId1"/>
  </sheets>
  <calcPr calcId="144525"/>
</workbook>
</file>

<file path=xl/calcChain.xml><?xml version="1.0" encoding="utf-8"?>
<calcChain xmlns="http://schemas.openxmlformats.org/spreadsheetml/2006/main">
  <c r="H38" i="1" l="1"/>
  <c r="H39" i="1" l="1"/>
  <c r="H36" i="1"/>
  <c r="E53" i="1" s="1"/>
  <c r="G53" i="1" s="1"/>
  <c r="H53" i="1" s="1"/>
  <c r="H34" i="1"/>
  <c r="H33" i="1"/>
  <c r="H31" i="1"/>
  <c r="H30" i="1"/>
  <c r="H29" i="1"/>
  <c r="H28" i="1"/>
  <c r="H26" i="1"/>
  <c r="H25" i="1"/>
  <c r="E49" i="1" s="1"/>
  <c r="G49" i="1" s="1"/>
  <c r="H49" i="1" s="1"/>
  <c r="H24" i="1"/>
  <c r="E48" i="1" s="1"/>
  <c r="G48" i="1" s="1"/>
  <c r="H48" i="1" s="1"/>
  <c r="H23" i="1"/>
  <c r="E47" i="1" s="1"/>
  <c r="G47" i="1"/>
  <c r="H47" i="1" s="1"/>
  <c r="H22" i="1"/>
  <c r="H21" i="1"/>
  <c r="E46" i="1" s="1"/>
  <c r="G46" i="1" s="1"/>
  <c r="H46" i="1" s="1"/>
  <c r="H20" i="1"/>
  <c r="E45" i="1" s="1"/>
  <c r="E51" i="1" l="1"/>
  <c r="G51" i="1" s="1"/>
  <c r="H51" i="1" s="1"/>
  <c r="E50" i="1"/>
  <c r="G50" i="1" s="1"/>
  <c r="H50" i="1" s="1"/>
  <c r="E52" i="1"/>
  <c r="G52" i="1" s="1"/>
  <c r="H52" i="1" s="1"/>
  <c r="G45" i="1"/>
  <c r="H40" i="1"/>
  <c r="H41" i="1" s="1"/>
  <c r="H42" i="1" s="1"/>
  <c r="E54" i="1" l="1"/>
  <c r="G54" i="1"/>
  <c r="H45" i="1"/>
  <c r="H54" i="1" s="1"/>
</calcChain>
</file>

<file path=xl/sharedStrings.xml><?xml version="1.0" encoding="utf-8"?>
<sst xmlns="http://schemas.openxmlformats.org/spreadsheetml/2006/main" count="102" uniqueCount="81">
  <si>
    <t>M/S I FOUR U ENGINEERING SERVICES</t>
  </si>
  <si>
    <t>Office Address :  House No. 329, New Karmik Nagar, PO ISM, Dhanbad,
Jharkhand, 826004, Ph No.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</si>
  <si>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</si>
  <si>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</si>
  <si>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</si>
  <si>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</si>
  <si>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</si>
  <si>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3"/>
        <color rgb="FF1F1F1F"/>
        <rFont val="Bookman Old Style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</si>
  <si>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</si>
  <si>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</si>
  <si>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</si>
  <si>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</si>
  <si>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</si>
  <si>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</si>
  <si>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</si>
  <si>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</si>
  <si>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</si>
  <si>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Cholamandalam Investment And Finance Co. ltd</t>
  </si>
  <si>
    <t>Cholamandalam Investment And Finance Co. ltd.</t>
  </si>
  <si>
    <t>Address</t>
  </si>
  <si>
    <t>State</t>
  </si>
  <si>
    <t>State Code</t>
  </si>
  <si>
    <t>GSTIN NO.</t>
  </si>
  <si>
    <t>S NO.</t>
  </si>
  <si>
    <t>ITEM NAME</t>
  </si>
  <si>
    <t>DESCRIPTION OF THE ITEM</t>
  </si>
  <si>
    <t>SAC</t>
  </si>
  <si>
    <t>UNIT</t>
  </si>
  <si>
    <t>Price</t>
  </si>
  <si>
    <t>Quantity</t>
  </si>
  <si>
    <t>Amount</t>
  </si>
  <si>
    <t>Civil Works</t>
  </si>
  <si>
    <t>Block Masonary</t>
  </si>
  <si>
    <t>Sft</t>
  </si>
  <si>
    <t>Plastering</t>
  </si>
  <si>
    <t>Raised Masonary Flooring</t>
  </si>
  <si>
    <t>Dado Tiles</t>
  </si>
  <si>
    <t>Painting</t>
  </si>
  <si>
    <t>Water Proofing</t>
  </si>
  <si>
    <t>Door- (2100mm x 750 mm)</t>
  </si>
  <si>
    <t>Nos</t>
  </si>
  <si>
    <t>Plumbing</t>
  </si>
  <si>
    <t>Wash Basin</t>
  </si>
  <si>
    <t>EWC Fitting</t>
  </si>
  <si>
    <t xml:space="preserve">UPVC Fittings </t>
  </si>
  <si>
    <t>Lumpsum</t>
  </si>
  <si>
    <t>PVC Fittings</t>
  </si>
  <si>
    <t>Electrical</t>
  </si>
  <si>
    <t>Exhaust Fan</t>
  </si>
  <si>
    <t>Lighting</t>
  </si>
  <si>
    <t>Misc</t>
  </si>
  <si>
    <t>Mirror</t>
  </si>
  <si>
    <t>SFT</t>
  </si>
  <si>
    <t>EXTRA</t>
  </si>
  <si>
    <t xml:space="preserve">Providing and fixing Extra Bib Cock </t>
  </si>
  <si>
    <t>GRAND TOTAL</t>
  </si>
  <si>
    <t>IGST 18%</t>
  </si>
  <si>
    <t>S No.</t>
  </si>
  <si>
    <t>HSN/SAC</t>
  </si>
  <si>
    <t>TAX RATE</t>
  </si>
  <si>
    <t>TAXABLE AMOUNT</t>
  </si>
  <si>
    <t>IGST AMT</t>
  </si>
  <si>
    <t>TOTAL TAX</t>
  </si>
  <si>
    <t>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</si>
  <si>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</si>
  <si>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</si>
  <si>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</si>
  <si>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</si>
  <si>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 Saraidhela, 828127 </t>
  </si>
  <si>
    <t>Terms and Conditions</t>
  </si>
  <si>
    <t>Common Seal</t>
  </si>
  <si>
    <t>Authorised Signatory</t>
  </si>
  <si>
    <t>18/CH/FY/25-26</t>
  </si>
  <si>
    <t>Floor No.:GE-VIP Road corner, 7Th Floor, Currency Tower,Vishal Nagar, Raipur, Dt-Raipur, Chhattisgarh.       Pin-492001</t>
  </si>
  <si>
    <t>22AAACC1226H1ZE</t>
  </si>
  <si>
    <t>Chhattisgarh</t>
  </si>
  <si>
    <t>Narayanpur, Chhattisgarh</t>
  </si>
  <si>
    <t>Site Cleaning and Debris Removal</t>
  </si>
  <si>
    <t>Total- One Lakh Seventy Five Thousand Seven Hundred Thirty Rupees And Thirty Two  Paisa Only</t>
  </si>
  <si>
    <t>Ground Floor , Jain Complex, Bakharupara, Antagarh Rd , Narayanpur , Chhattisgarh .Pin-494661</t>
  </si>
  <si>
    <t>W/0: 28603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</si>
</sst>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6">
    <font>
      <sz val="10"/>
      <color rgb="FF000000"/>
      <name val="Arial"/>
      <scheme val="minor"/>
    </font>
    <font>
      <sz val="10"/>
      <color theme="1"/>
      <name val="Arial"/>
    </font>
    <font>
      <b/>
      <sz val="22"/>
      <color theme="1"/>
      <name val="Bookman Old Style"/>
    </font>
    <font>
      <sz val="10"/>
      <name val="Arial"/>
    </font>
    <font>
      <b/>
      <sz val="16"/>
      <color theme="1"/>
      <name val="Bookman Old Style"/>
    </font>
    <font>
      <b/>
      <sz val="12"/>
      <color theme="1"/>
      <name val="Bookman Old Style"/>
    </font>
    <font>
      <b/>
      <sz val="13"/>
      <color theme="1"/>
      <name val="Bookman Old Style"/>
    </font>
    <font>
      <sz val="13"/>
      <color theme="1"/>
      <name val="Arial"/>
      <scheme val="minor"/>
    </font>
    <font>
      <sz val="13"/>
      <color theme="1"/>
      <name val="Arial"/>
    </font>
    <font>
      <b/>
      <sz val="13"/>
      <color theme="1"/>
      <name val="Calibri"/>
    </font>
    <font>
      <b/>
      <sz val="13"/>
      <color theme="1"/>
      <name val="Arial"/>
    </font>
    <font>
      <b/>
      <sz val="13"/>
      <color theme="1"/>
      <name val="Aptos Narrow"/>
    </font>
    <font>
      <b/>
      <sz val="13"/>
      <color rgb="FF000000"/>
      <name val="Arial"/>
    </font>
    <font>
      <sz val="13"/>
      <color theme="1"/>
      <name val="Aptos Narrow"/>
    </font>
    <font>
      <sz val="12"/>
      <color rgb="FF000000"/>
      <name val="Arial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ptos Narrow"/>
    </font>
    <font>
      <sz val="10"/>
      <color rgb="FF000000"/>
      <name val="Arial"/>
    </font>
    <font>
      <sz val="13"/>
      <color rgb="FF000000"/>
      <name val="Arial"/>
    </font>
    <font>
      <b/>
      <sz val="12"/>
      <color theme="1"/>
      <name val="Arial"/>
    </font>
    <font>
      <sz val="11"/>
      <color theme="1"/>
      <name val="Calibri"/>
    </font>
    <font>
      <b/>
      <sz val="13"/>
      <color rgb="FF1F1F1F"/>
      <name val="Bookman Old Style"/>
    </font>
    <font>
      <b/>
      <sz val="11"/>
      <color theme="1"/>
      <name val="Bookman Old Style"/>
      <family val="1"/>
    </font>
    <font>
      <sz val="1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i/>
      <sz val="13"/>
      <color theme="1"/>
      <name val="Arial"/>
      <family val="2"/>
    </font>
    <font>
      <b/>
      <sz val="12"/>
      <color rgb="FF0E2841"/>
      <name val="Arial"/>
      <family val="2"/>
    </font>
    <font>
      <sz val="12"/>
      <name val="Arial"/>
      <family val="2"/>
    </font>
    <font>
      <b/>
      <sz val="12"/>
      <color rgb="FF0E2841"/>
      <name val="Aptos Narrow"/>
    </font>
    <font>
      <b/>
      <sz val="13"/>
      <color theme="1"/>
      <name val="Bookman Old Style"/>
      <family val="1"/>
    </font>
    <font>
      <b/>
      <sz val="12"/>
      <color theme="1"/>
      <name val="Calibri"/>
      <family val="2"/>
    </font>
    <font>
      <b/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1" fillId="0" borderId="1" xfId="0" applyFont="1" applyBorder="1"/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7" fillId="0" borderId="0" xfId="0" applyFont="1"/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21" xfId="0" applyFont="1" applyBorder="1" applyAlignment="1">
      <alignment horizontal="center"/>
    </xf>
    <xf numFmtId="164" fontId="6" fillId="0" borderId="22" xfId="0" applyNumberFormat="1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1" fillId="0" borderId="2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28" xfId="0" applyFont="1" applyBorder="1"/>
    <xf numFmtId="0" fontId="13" fillId="0" borderId="28" xfId="0" applyFont="1" applyBorder="1"/>
    <xf numFmtId="0" fontId="10" fillId="0" borderId="2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4" fillId="0" borderId="15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wrapText="1"/>
    </xf>
    <xf numFmtId="0" fontId="16" fillId="0" borderId="28" xfId="0" applyFont="1" applyBorder="1" applyAlignment="1">
      <alignment horizontal="center"/>
    </xf>
    <xf numFmtId="0" fontId="15" fillId="0" borderId="28" xfId="0" applyFont="1" applyBorder="1" applyAlignment="1">
      <alignment horizontal="center" vertical="top"/>
    </xf>
    <xf numFmtId="0" fontId="16" fillId="0" borderId="16" xfId="0" applyFont="1" applyBorder="1" applyAlignment="1">
      <alignment horizontal="center" vertical="top"/>
    </xf>
    <xf numFmtId="0" fontId="15" fillId="0" borderId="15" xfId="0" applyFont="1" applyBorder="1" applyAlignment="1">
      <alignment horizontal="center" wrapText="1"/>
    </xf>
    <xf numFmtId="0" fontId="15" fillId="0" borderId="2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" fillId="0" borderId="48" xfId="0" applyFont="1" applyBorder="1"/>
    <xf numFmtId="0" fontId="15" fillId="0" borderId="28" xfId="0" applyFont="1" applyBorder="1" applyAlignment="1">
      <alignment horizontal="center"/>
    </xf>
    <xf numFmtId="0" fontId="13" fillId="0" borderId="6" xfId="0" applyFont="1" applyBorder="1"/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5" fillId="0" borderId="28" xfId="0" applyFont="1" applyBorder="1" applyAlignment="1">
      <alignment horizontal="left" vertical="center" wrapText="1"/>
    </xf>
    <xf numFmtId="0" fontId="18" fillId="0" borderId="0" xfId="0" applyFont="1"/>
    <xf numFmtId="0" fontId="17" fillId="0" borderId="15" xfId="0" applyFont="1" applyBorder="1" applyAlignment="1">
      <alignment horizontal="center"/>
    </xf>
    <xf numFmtId="0" fontId="15" fillId="0" borderId="28" xfId="0" applyFont="1" applyBorder="1"/>
    <xf numFmtId="0" fontId="13" fillId="0" borderId="15" xfId="0" applyFont="1" applyBorder="1"/>
    <xf numFmtId="0" fontId="19" fillId="0" borderId="28" xfId="0" applyFont="1" applyBorder="1"/>
    <xf numFmtId="0" fontId="12" fillId="0" borderId="28" xfId="0" applyFont="1" applyBorder="1" applyAlignment="1">
      <alignment horizontal="right"/>
    </xf>
    <xf numFmtId="0" fontId="12" fillId="4" borderId="16" xfId="0" applyFont="1" applyFill="1" applyBorder="1" applyAlignment="1">
      <alignment horizontal="center"/>
    </xf>
    <xf numFmtId="0" fontId="11" fillId="0" borderId="28" xfId="0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2" fillId="0" borderId="28" xfId="0" applyFont="1" applyBorder="1"/>
    <xf numFmtId="0" fontId="10" fillId="0" borderId="47" xfId="0" applyFont="1" applyBorder="1"/>
    <xf numFmtId="0" fontId="10" fillId="0" borderId="49" xfId="0" applyFont="1" applyBorder="1"/>
    <xf numFmtId="0" fontId="8" fillId="0" borderId="50" xfId="0" applyFont="1" applyBorder="1"/>
    <xf numFmtId="0" fontId="8" fillId="0" borderId="33" xfId="0" applyFont="1" applyBorder="1" applyAlignment="1">
      <alignment horizontal="center"/>
    </xf>
    <xf numFmtId="0" fontId="10" fillId="0" borderId="51" xfId="0" applyFont="1" applyBorder="1" applyAlignment="1"/>
    <xf numFmtId="0" fontId="10" fillId="0" borderId="5" xfId="0" applyFont="1" applyBorder="1" applyAlignment="1">
      <alignment horizontal="center"/>
    </xf>
    <xf numFmtId="9" fontId="8" fillId="0" borderId="54" xfId="0" applyNumberFormat="1" applyFont="1" applyBorder="1" applyAlignment="1"/>
    <xf numFmtId="0" fontId="8" fillId="0" borderId="54" xfId="0" applyFont="1" applyBorder="1"/>
    <xf numFmtId="0" fontId="8" fillId="0" borderId="39" xfId="0" applyFont="1" applyBorder="1" applyAlignment="1">
      <alignment horizontal="center"/>
    </xf>
    <xf numFmtId="9" fontId="8" fillId="0" borderId="53" xfId="0" applyNumberFormat="1" applyFont="1" applyBorder="1" applyAlignment="1"/>
    <xf numFmtId="0" fontId="8" fillId="0" borderId="53" xfId="0" applyFont="1" applyBorder="1"/>
    <xf numFmtId="0" fontId="10" fillId="0" borderId="3" xfId="0" applyFont="1" applyBorder="1" applyAlignment="1"/>
    <xf numFmtId="9" fontId="8" fillId="0" borderId="4" xfId="0" applyNumberFormat="1" applyFont="1" applyBorder="1" applyAlignment="1"/>
    <xf numFmtId="0" fontId="10" fillId="0" borderId="4" xfId="0" applyFont="1" applyBorder="1"/>
    <xf numFmtId="0" fontId="10" fillId="0" borderId="51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8" fillId="0" borderId="57" xfId="0" applyFont="1" applyBorder="1"/>
    <xf numFmtId="0" fontId="9" fillId="0" borderId="6" xfId="0" applyFont="1" applyBorder="1"/>
    <xf numFmtId="0" fontId="9" fillId="0" borderId="6" xfId="0" applyFont="1" applyBorder="1" applyAlignment="1">
      <alignment horizontal="center" vertical="top"/>
    </xf>
    <xf numFmtId="0" fontId="9" fillId="0" borderId="58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27" fillId="0" borderId="28" xfId="0" applyFont="1" applyBorder="1" applyAlignment="1">
      <alignment horizontal="left" vertical="center" wrapText="1"/>
    </xf>
    <xf numFmtId="0" fontId="28" fillId="0" borderId="28" xfId="0" applyFont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0" fillId="0" borderId="56" xfId="0" applyFont="1" applyBorder="1" applyAlignment="1">
      <alignment horizontal="center"/>
    </xf>
    <xf numFmtId="0" fontId="3" fillId="0" borderId="55" xfId="0" applyFont="1" applyBorder="1"/>
    <xf numFmtId="0" fontId="9" fillId="0" borderId="6" xfId="0" applyFont="1" applyBorder="1"/>
    <xf numFmtId="0" fontId="3" fillId="0" borderId="18" xfId="0" applyFont="1" applyBorder="1"/>
    <xf numFmtId="0" fontId="9" fillId="0" borderId="47" xfId="0" applyFont="1" applyBorder="1" applyAlignment="1">
      <alignment horizontal="center" vertical="top"/>
    </xf>
    <xf numFmtId="0" fontId="3" fillId="0" borderId="45" xfId="0" applyFont="1" applyBorder="1"/>
    <xf numFmtId="0" fontId="3" fillId="0" borderId="48" xfId="0" applyFont="1" applyBorder="1"/>
    <xf numFmtId="0" fontId="3" fillId="0" borderId="30" xfId="0" applyFont="1" applyBorder="1"/>
    <xf numFmtId="0" fontId="3" fillId="0" borderId="59" xfId="0" applyFont="1" applyBorder="1"/>
    <xf numFmtId="0" fontId="3" fillId="0" borderId="60" xfId="0" applyFont="1" applyBorder="1"/>
    <xf numFmtId="0" fontId="15" fillId="0" borderId="17" xfId="0" applyFont="1" applyBorder="1" applyAlignment="1">
      <alignment horizontal="center" wrapText="1"/>
    </xf>
    <xf numFmtId="0" fontId="8" fillId="0" borderId="17" xfId="0" applyFont="1" applyBorder="1"/>
    <xf numFmtId="0" fontId="20" fillId="0" borderId="3" xfId="0" applyFont="1" applyBorder="1" applyAlignment="1">
      <alignment horizontal="center"/>
    </xf>
    <xf numFmtId="0" fontId="3" fillId="0" borderId="5" xfId="0" applyFont="1" applyBorder="1"/>
    <xf numFmtId="0" fontId="9" fillId="0" borderId="33" xfId="0" applyFont="1" applyBorder="1" applyAlignment="1">
      <alignment horizontal="left" vertical="top" wrapText="1"/>
    </xf>
    <xf numFmtId="0" fontId="3" fillId="0" borderId="37" xfId="0" applyFont="1" applyBorder="1"/>
    <xf numFmtId="0" fontId="3" fillId="0" borderId="44" xfId="0" applyFont="1" applyBorder="1"/>
    <xf numFmtId="0" fontId="10" fillId="0" borderId="3" xfId="0" applyFont="1" applyBorder="1" applyAlignment="1">
      <alignment horizontal="center"/>
    </xf>
    <xf numFmtId="0" fontId="3" fillId="0" borderId="52" xfId="0" applyFont="1" applyBorder="1"/>
    <xf numFmtId="0" fontId="10" fillId="0" borderId="4" xfId="0" applyFont="1" applyBorder="1" applyAlignment="1">
      <alignment horizontal="center"/>
    </xf>
    <xf numFmtId="0" fontId="8" fillId="0" borderId="10" xfId="0" applyFont="1" applyBorder="1"/>
    <xf numFmtId="0" fontId="24" fillId="0" borderId="17" xfId="0" applyFont="1" applyBorder="1"/>
    <xf numFmtId="0" fontId="24" fillId="0" borderId="20" xfId="0" applyFont="1" applyBorder="1"/>
    <xf numFmtId="0" fontId="3" fillId="0" borderId="36" xfId="0" applyFont="1" applyBorder="1"/>
    <xf numFmtId="0" fontId="3" fillId="0" borderId="38" xfId="0" applyFont="1" applyBorder="1"/>
    <xf numFmtId="0" fontId="3" fillId="0" borderId="39" xfId="0" applyFont="1" applyBorder="1"/>
    <xf numFmtId="0" fontId="26" fillId="0" borderId="19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3" fillId="0" borderId="23" xfId="0" applyFont="1" applyBorder="1" applyAlignment="1">
      <alignment horizontal="center"/>
    </xf>
    <xf numFmtId="0" fontId="24" fillId="0" borderId="24" xfId="0" applyFont="1" applyBorder="1"/>
    <xf numFmtId="0" fontId="6" fillId="0" borderId="29" xfId="0" applyFont="1" applyBorder="1" applyAlignment="1">
      <alignment horizontal="center"/>
    </xf>
    <xf numFmtId="0" fontId="3" fillId="0" borderId="31" xfId="0" applyFont="1" applyBorder="1"/>
    <xf numFmtId="0" fontId="6" fillId="0" borderId="11" xfId="0" applyFont="1" applyBorder="1" applyAlignment="1">
      <alignment horizontal="left"/>
    </xf>
    <xf numFmtId="0" fontId="3" fillId="0" borderId="14" xfId="0" applyFont="1" applyBorder="1"/>
    <xf numFmtId="0" fontId="3" fillId="0" borderId="32" xfId="0" applyFont="1" applyBorder="1"/>
    <xf numFmtId="0" fontId="25" fillId="0" borderId="40" xfId="0" applyFont="1" applyBorder="1" applyAlignment="1">
      <alignment horizontal="center" wrapText="1"/>
    </xf>
    <xf numFmtId="0" fontId="25" fillId="0" borderId="42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3" fillId="0" borderId="20" xfId="0" applyFont="1" applyBorder="1"/>
    <xf numFmtId="0" fontId="6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0" borderId="18" xfId="0" applyFont="1" applyBorder="1" applyAlignment="1"/>
    <xf numFmtId="164" fontId="6" fillId="0" borderId="19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7" xfId="0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4" fillId="0" borderId="12" xfId="0" applyFont="1" applyBorder="1"/>
    <xf numFmtId="0" fontId="6" fillId="0" borderId="13" xfId="0" applyFont="1" applyBorder="1" applyAlignment="1">
      <alignment horizontal="center"/>
    </xf>
    <xf numFmtId="0" fontId="9" fillId="0" borderId="40" xfId="0" applyFont="1" applyBorder="1" applyAlignment="1">
      <alignment horizontal="center" vertical="top"/>
    </xf>
    <xf numFmtId="0" fontId="3" fillId="0" borderId="24" xfId="0" applyFont="1" applyBorder="1"/>
    <xf numFmtId="0" fontId="9" fillId="5" borderId="40" xfId="0" applyFont="1" applyFill="1" applyBorder="1" applyAlignment="1">
      <alignment horizontal="center"/>
    </xf>
    <xf numFmtId="0" fontId="3" fillId="0" borderId="42" xfId="0" applyFont="1" applyBorder="1"/>
    <xf numFmtId="0" fontId="10" fillId="0" borderId="3" xfId="0" applyFont="1" applyBorder="1"/>
    <xf numFmtId="0" fontId="8" fillId="0" borderId="29" xfId="0" applyFont="1" applyBorder="1"/>
    <xf numFmtId="0" fontId="3" fillId="0" borderId="29" xfId="0" applyFont="1" applyBorder="1"/>
    <xf numFmtId="0" fontId="9" fillId="5" borderId="19" xfId="0" applyFont="1" applyFill="1" applyBorder="1" applyAlignment="1">
      <alignment horizontal="center"/>
    </xf>
    <xf numFmtId="0" fontId="9" fillId="0" borderId="34" xfId="0" applyFont="1" applyBorder="1"/>
    <xf numFmtId="0" fontId="29" fillId="0" borderId="50" xfId="0" applyFont="1" applyBorder="1" applyAlignment="1"/>
    <xf numFmtId="0" fontId="10" fillId="0" borderId="53" xfId="0" applyFont="1" applyBorder="1" applyAlignment="1">
      <alignment horizontal="center"/>
    </xf>
    <xf numFmtId="0" fontId="21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49" fontId="30" fillId="3" borderId="34" xfId="0" applyNumberFormat="1" applyFont="1" applyFill="1" applyBorder="1" applyAlignment="1">
      <alignment horizontal="left" vertical="top" wrapText="1"/>
    </xf>
    <xf numFmtId="0" fontId="31" fillId="0" borderId="35" xfId="0" applyFont="1" applyBorder="1" applyAlignment="1">
      <alignment horizontal="left" vertical="top"/>
    </xf>
    <xf numFmtId="0" fontId="31" fillId="0" borderId="36" xfId="0" applyFont="1" applyBorder="1" applyAlignment="1">
      <alignment horizontal="left" vertical="top"/>
    </xf>
    <xf numFmtId="0" fontId="31" fillId="0" borderId="38" xfId="0" applyFont="1" applyBorder="1" applyAlignment="1">
      <alignment horizontal="left" vertical="top"/>
    </xf>
    <xf numFmtId="0" fontId="31" fillId="0" borderId="10" xfId="0" applyFont="1" applyBorder="1" applyAlignment="1">
      <alignment horizontal="left" vertical="top"/>
    </xf>
    <xf numFmtId="0" fontId="31" fillId="0" borderId="39" xfId="0" applyFont="1" applyBorder="1" applyAlignment="1">
      <alignment horizontal="left" vertical="top"/>
    </xf>
    <xf numFmtId="0" fontId="32" fillId="2" borderId="19" xfId="0" applyFont="1" applyFill="1" applyBorder="1" applyAlignment="1">
      <alignment horizontal="left" vertical="top"/>
    </xf>
    <xf numFmtId="0" fontId="31" fillId="0" borderId="17" xfId="0" applyFont="1" applyBorder="1"/>
    <xf numFmtId="0" fontId="31" fillId="0" borderId="20" xfId="0" applyFont="1" applyBorder="1"/>
    <xf numFmtId="0" fontId="33" fillId="0" borderId="43" xfId="0" applyFont="1" applyBorder="1" applyAlignment="1">
      <alignment horizontal="left"/>
    </xf>
    <xf numFmtId="0" fontId="34" fillId="0" borderId="40" xfId="0" applyFont="1" applyBorder="1" applyAlignment="1">
      <alignment horizontal="left"/>
    </xf>
    <xf numFmtId="0" fontId="31" fillId="0" borderId="41" xfId="0" applyFont="1" applyBorder="1"/>
    <xf numFmtId="0" fontId="31" fillId="0" borderId="42" xfId="0" applyFont="1" applyBorder="1"/>
    <xf numFmtId="0" fontId="34" fillId="0" borderId="22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/>
    </xf>
    <xf numFmtId="0" fontId="3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228600</xdr:rowOff>
    </xdr:from>
    <xdr:ext cx="723900" cy="92710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8850" y="228600"/>
          <a:ext cx="723900" cy="927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5"/>
  <sheetViews>
    <sheetView tabSelected="1" workbookViewId="0">
      <selection activeCell="C7" sqref="C7"/>
    </sheetView>
  </sheetViews>
  <sheetFormatPr defaultColWidth="12.6328125" defaultRowHeight="15" customHeight="1"/>
  <cols>
    <col min="1" max="1" width="9.90625" customWidth="1"/>
    <col min="2" max="2" width="17.90625" customWidth="1"/>
    <col min="3" max="3" width="59" customWidth="1"/>
    <col min="4" max="6" width="12.6328125" customWidth="1"/>
    <col min="8" max="8" width="33.6328125" customWidth="1"/>
  </cols>
  <sheetData>
    <row r="1" spans="1:25" ht="40.5" customHeight="1">
      <c r="A1" s="1"/>
      <c r="B1" s="133"/>
      <c r="C1" s="135" t="s">
        <v>0</v>
      </c>
      <c r="D1" s="136"/>
      <c r="E1" s="136"/>
      <c r="F1" s="136"/>
      <c r="G1" s="136"/>
      <c r="H1" s="103"/>
    </row>
    <row r="2" spans="1:25" ht="68.25" customHeight="1">
      <c r="A2" s="2"/>
      <c r="B2" s="134"/>
      <c r="C2" s="137" t="s">
        <v>1</v>
      </c>
      <c r="D2" s="136"/>
      <c r="E2" s="136"/>
      <c r="F2" s="136"/>
      <c r="G2" s="136"/>
      <c r="H2" s="103"/>
    </row>
    <row r="3" spans="1:25" ht="16.5" customHeight="1">
      <c r="A3" s="3"/>
      <c r="B3" s="138" t="s">
        <v>2</v>
      </c>
      <c r="C3" s="136"/>
      <c r="D3" s="136"/>
      <c r="E3" s="136"/>
      <c r="F3" s="136"/>
      <c r="G3" s="136"/>
      <c r="H3" s="103"/>
    </row>
    <row r="4" spans="1:25" ht="15.75" customHeight="1">
      <c r="A4" s="4"/>
      <c r="B4" s="170" t="s">
        <v>3</v>
      </c>
      <c r="C4" s="5" t="s">
        <v>72</v>
      </c>
      <c r="D4" s="6"/>
      <c r="E4" s="139" t="s">
        <v>4</v>
      </c>
      <c r="F4" s="140"/>
      <c r="G4" s="141" t="s">
        <v>5</v>
      </c>
      <c r="H4" s="12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4"/>
      <c r="B5" s="83" t="s">
        <v>6</v>
      </c>
      <c r="C5" s="9" t="s">
        <v>7</v>
      </c>
      <c r="D5" s="10"/>
      <c r="E5" s="129" t="s">
        <v>8</v>
      </c>
      <c r="F5" s="93"/>
      <c r="G5" s="127" t="s">
        <v>9</v>
      </c>
      <c r="H5" s="12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11"/>
      <c r="B6" s="169" t="s">
        <v>10</v>
      </c>
      <c r="C6" s="112"/>
      <c r="D6" s="10"/>
      <c r="E6" s="130" t="s">
        <v>11</v>
      </c>
      <c r="F6" s="131"/>
      <c r="G6" s="132" t="s">
        <v>5</v>
      </c>
      <c r="H6" s="12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thickBot="1">
      <c r="A7" s="4"/>
      <c r="B7" s="84" t="s">
        <v>12</v>
      </c>
      <c r="C7" s="13">
        <v>46133</v>
      </c>
      <c r="D7" s="10"/>
      <c r="E7" s="118" t="s">
        <v>13</v>
      </c>
      <c r="F7" s="119"/>
      <c r="G7" s="125" t="s">
        <v>76</v>
      </c>
      <c r="H7" s="12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thickBot="1">
      <c r="A8" s="4"/>
      <c r="B8" s="14"/>
      <c r="C8" s="15"/>
      <c r="D8" s="16"/>
      <c r="E8" s="120"/>
      <c r="F8" s="97"/>
      <c r="G8" s="120"/>
      <c r="H8" s="12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11"/>
      <c r="B9" s="122" t="s">
        <v>14</v>
      </c>
      <c r="C9" s="123"/>
      <c r="D9" s="10"/>
      <c r="E9" s="122" t="s">
        <v>15</v>
      </c>
      <c r="F9" s="124"/>
      <c r="G9" s="124"/>
      <c r="H9" s="12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4"/>
      <c r="B10" s="8" t="s">
        <v>16</v>
      </c>
      <c r="C10" s="17" t="s">
        <v>17</v>
      </c>
      <c r="D10" s="10"/>
      <c r="E10" s="8" t="s">
        <v>16</v>
      </c>
      <c r="F10" s="161" t="s">
        <v>18</v>
      </c>
      <c r="G10" s="162"/>
      <c r="H10" s="16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4"/>
      <c r="B11" s="8" t="s">
        <v>19</v>
      </c>
      <c r="C11" s="104" t="s">
        <v>73</v>
      </c>
      <c r="D11" s="10"/>
      <c r="E11" s="8" t="s">
        <v>19</v>
      </c>
      <c r="F11" s="155" t="s">
        <v>79</v>
      </c>
      <c r="G11" s="156"/>
      <c r="H11" s="15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33.75" customHeight="1">
      <c r="A12" s="4"/>
      <c r="B12" s="8"/>
      <c r="C12" s="105"/>
      <c r="D12" s="10"/>
      <c r="E12" s="8"/>
      <c r="F12" s="158"/>
      <c r="G12" s="159"/>
      <c r="H12" s="16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4"/>
      <c r="B13" s="8" t="s">
        <v>20</v>
      </c>
      <c r="C13" s="85" t="s">
        <v>75</v>
      </c>
      <c r="D13" s="10"/>
      <c r="E13" s="8" t="s">
        <v>20</v>
      </c>
      <c r="F13" s="116" t="s">
        <v>75</v>
      </c>
      <c r="G13" s="111"/>
      <c r="H13" s="11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4"/>
      <c r="B14" s="8" t="s">
        <v>21</v>
      </c>
      <c r="C14" s="86">
        <v>22</v>
      </c>
      <c r="D14" s="10"/>
      <c r="E14" s="83" t="s">
        <v>21</v>
      </c>
      <c r="F14" s="117">
        <v>22</v>
      </c>
      <c r="G14" s="111"/>
      <c r="H14" s="11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4"/>
      <c r="B15" s="12" t="s">
        <v>22</v>
      </c>
      <c r="C15" s="168" t="s">
        <v>74</v>
      </c>
      <c r="D15" s="10"/>
      <c r="E15" s="84" t="s">
        <v>22</v>
      </c>
      <c r="F15" s="165" t="s">
        <v>74</v>
      </c>
      <c r="G15" s="166"/>
      <c r="H15" s="16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4"/>
      <c r="B16" s="164" t="s">
        <v>80</v>
      </c>
      <c r="C16" s="106"/>
      <c r="D16" s="18"/>
      <c r="E16" s="15"/>
      <c r="F16" s="15"/>
      <c r="G16" s="15"/>
      <c r="H16" s="1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20"/>
      <c r="B17" s="8"/>
      <c r="C17" s="16"/>
      <c r="D17" s="16"/>
      <c r="E17" s="16"/>
      <c r="F17" s="16"/>
      <c r="G17" s="16"/>
      <c r="H17" s="2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6.5">
      <c r="A18" s="22" t="s">
        <v>23</v>
      </c>
      <c r="B18" s="23" t="s">
        <v>24</v>
      </c>
      <c r="C18" s="24" t="s">
        <v>25</v>
      </c>
      <c r="D18" s="25" t="s">
        <v>26</v>
      </c>
      <c r="E18" s="26" t="s">
        <v>27</v>
      </c>
      <c r="F18" s="26" t="s">
        <v>28</v>
      </c>
      <c r="G18" s="26" t="s">
        <v>29</v>
      </c>
      <c r="H18" s="27" t="s">
        <v>30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6.5">
      <c r="A19" s="28"/>
      <c r="B19" s="29" t="s">
        <v>31</v>
      </c>
      <c r="C19" s="30"/>
      <c r="D19" s="31"/>
      <c r="E19" s="31"/>
      <c r="F19" s="26"/>
      <c r="G19" s="32"/>
      <c r="H19" s="3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5">
      <c r="A20" s="2"/>
      <c r="B20" s="34">
        <v>1</v>
      </c>
      <c r="C20" s="35" t="s">
        <v>32</v>
      </c>
      <c r="D20" s="36">
        <v>995456</v>
      </c>
      <c r="E20" s="37" t="s">
        <v>33</v>
      </c>
      <c r="F20" s="37">
        <v>120</v>
      </c>
      <c r="G20" s="38">
        <v>249.4</v>
      </c>
      <c r="H20" s="39">
        <f>G20*F20</f>
        <v>29928</v>
      </c>
    </row>
    <row r="21" spans="1:25" ht="15.75" customHeight="1">
      <c r="A21" s="2"/>
      <c r="B21" s="40">
        <v>2</v>
      </c>
      <c r="C21" s="35" t="s">
        <v>34</v>
      </c>
      <c r="D21" s="36">
        <v>995472</v>
      </c>
      <c r="E21" s="37" t="s">
        <v>33</v>
      </c>
      <c r="F21" s="37">
        <v>40</v>
      </c>
      <c r="G21" s="41">
        <v>448.4</v>
      </c>
      <c r="H21" s="42">
        <f>F21*G21</f>
        <v>17936</v>
      </c>
    </row>
    <row r="22" spans="1:25" ht="15.75" customHeight="1">
      <c r="A22" s="2"/>
      <c r="B22" s="40">
        <v>3</v>
      </c>
      <c r="C22" s="35" t="s">
        <v>35</v>
      </c>
      <c r="D22" s="36">
        <v>995456</v>
      </c>
      <c r="E22" s="37" t="s">
        <v>33</v>
      </c>
      <c r="F22" s="37">
        <v>150</v>
      </c>
      <c r="G22" s="37">
        <v>36</v>
      </c>
      <c r="H22" s="43">
        <f t="shared" ref="H22:H25" si="0">G22*F22</f>
        <v>5400</v>
      </c>
    </row>
    <row r="23" spans="1:25" ht="15.75" customHeight="1">
      <c r="A23" s="44"/>
      <c r="B23" s="89">
        <v>4</v>
      </c>
      <c r="C23" s="35" t="s">
        <v>36</v>
      </c>
      <c r="D23" s="36">
        <v>995474</v>
      </c>
      <c r="E23" s="45" t="s">
        <v>33</v>
      </c>
      <c r="F23" s="45">
        <v>140</v>
      </c>
      <c r="G23" s="45">
        <v>158</v>
      </c>
      <c r="H23" s="43">
        <f t="shared" si="0"/>
        <v>22120</v>
      </c>
    </row>
    <row r="24" spans="1:25" ht="15.75" customHeight="1">
      <c r="A24" s="44"/>
      <c r="B24" s="89">
        <v>5</v>
      </c>
      <c r="C24" s="35" t="s">
        <v>37</v>
      </c>
      <c r="D24" s="36">
        <v>995473</v>
      </c>
      <c r="E24" s="45" t="s">
        <v>33</v>
      </c>
      <c r="F24" s="45">
        <v>30</v>
      </c>
      <c r="G24" s="45">
        <v>300</v>
      </c>
      <c r="H24" s="43">
        <f t="shared" si="0"/>
        <v>9000</v>
      </c>
    </row>
    <row r="25" spans="1:25" ht="15.75" customHeight="1">
      <c r="A25" s="46"/>
      <c r="B25" s="89">
        <v>6</v>
      </c>
      <c r="C25" s="35" t="s">
        <v>38</v>
      </c>
      <c r="D25" s="36">
        <v>995453</v>
      </c>
      <c r="E25" s="45" t="s">
        <v>33</v>
      </c>
      <c r="F25" s="45">
        <v>85</v>
      </c>
      <c r="G25" s="45">
        <v>36</v>
      </c>
      <c r="H25" s="43">
        <f t="shared" si="0"/>
        <v>3060</v>
      </c>
    </row>
    <row r="26" spans="1:25" ht="19.5" customHeight="1">
      <c r="A26" s="46"/>
      <c r="B26" s="47">
        <v>7</v>
      </c>
      <c r="C26" s="35" t="s">
        <v>39</v>
      </c>
      <c r="D26" s="36">
        <v>9954</v>
      </c>
      <c r="E26" s="37" t="s">
        <v>40</v>
      </c>
      <c r="F26" s="45">
        <v>8500</v>
      </c>
      <c r="G26" s="45">
        <v>1</v>
      </c>
      <c r="H26" s="43">
        <f>F26*G26</f>
        <v>8500</v>
      </c>
    </row>
    <row r="27" spans="1:25" ht="30" customHeight="1">
      <c r="A27" s="46"/>
      <c r="B27" s="48" t="s">
        <v>41</v>
      </c>
      <c r="C27" s="35"/>
      <c r="D27" s="36"/>
      <c r="E27" s="37"/>
      <c r="F27" s="45"/>
      <c r="G27" s="41"/>
      <c r="H27" s="43"/>
    </row>
    <row r="28" spans="1:25" ht="30" customHeight="1">
      <c r="A28" s="46"/>
      <c r="B28" s="47">
        <v>8</v>
      </c>
      <c r="C28" s="35" t="s">
        <v>42</v>
      </c>
      <c r="D28" s="36">
        <v>995462</v>
      </c>
      <c r="E28" s="37" t="s">
        <v>40</v>
      </c>
      <c r="F28" s="45">
        <v>13500</v>
      </c>
      <c r="G28" s="41">
        <v>1</v>
      </c>
      <c r="H28" s="43">
        <f>F28*G28</f>
        <v>13500</v>
      </c>
    </row>
    <row r="29" spans="1:25" ht="30" customHeight="1">
      <c r="A29" s="46"/>
      <c r="B29" s="49">
        <v>9</v>
      </c>
      <c r="C29" s="50" t="s">
        <v>43</v>
      </c>
      <c r="D29" s="36">
        <v>995462</v>
      </c>
      <c r="E29" s="45" t="s">
        <v>40</v>
      </c>
      <c r="F29" s="45">
        <v>21500</v>
      </c>
      <c r="G29" s="45">
        <v>1</v>
      </c>
      <c r="H29" s="43">
        <f>G29*F29</f>
        <v>21500</v>
      </c>
    </row>
    <row r="30" spans="1:25" ht="30" customHeight="1">
      <c r="A30" s="46"/>
      <c r="B30" s="49">
        <v>10</v>
      </c>
      <c r="C30" s="50" t="s">
        <v>44</v>
      </c>
      <c r="D30" s="36">
        <v>995462</v>
      </c>
      <c r="E30" s="45" t="s">
        <v>45</v>
      </c>
      <c r="F30" s="45">
        <v>6500</v>
      </c>
      <c r="G30" s="45">
        <v>1</v>
      </c>
      <c r="H30" s="43">
        <f t="shared" ref="H30:H31" si="1">F30*G30</f>
        <v>6500</v>
      </c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ht="30" customHeight="1">
      <c r="A31" s="46"/>
      <c r="B31" s="49">
        <v>11</v>
      </c>
      <c r="C31" s="50" t="s">
        <v>46</v>
      </c>
      <c r="D31" s="36">
        <v>995462</v>
      </c>
      <c r="E31" s="45" t="s">
        <v>45</v>
      </c>
      <c r="F31" s="45">
        <v>5500</v>
      </c>
      <c r="G31" s="45">
        <v>1</v>
      </c>
      <c r="H31" s="43">
        <f t="shared" si="1"/>
        <v>5500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30" customHeight="1">
      <c r="A32" s="46"/>
      <c r="B32" s="52" t="s">
        <v>47</v>
      </c>
      <c r="C32" s="50"/>
      <c r="D32" s="36"/>
      <c r="E32" s="45"/>
      <c r="F32" s="45"/>
      <c r="G32" s="45"/>
      <c r="H32" s="43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30" customHeight="1">
      <c r="A33" s="46"/>
      <c r="B33" s="49">
        <v>12</v>
      </c>
      <c r="C33" s="50" t="s">
        <v>48</v>
      </c>
      <c r="D33" s="36">
        <v>850440</v>
      </c>
      <c r="E33" s="45" t="s">
        <v>40</v>
      </c>
      <c r="F33" s="45">
        <v>1800</v>
      </c>
      <c r="G33" s="45">
        <v>1</v>
      </c>
      <c r="H33" s="43">
        <f>G33*F33</f>
        <v>1800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30" customHeight="1">
      <c r="A34" s="46"/>
      <c r="B34" s="49">
        <v>13</v>
      </c>
      <c r="C34" s="35" t="s">
        <v>49</v>
      </c>
      <c r="D34" s="36">
        <v>850440</v>
      </c>
      <c r="E34" s="45" t="s">
        <v>40</v>
      </c>
      <c r="F34" s="45">
        <v>650</v>
      </c>
      <c r="G34" s="45">
        <v>1</v>
      </c>
      <c r="H34" s="43">
        <f>F34*G34</f>
        <v>650</v>
      </c>
    </row>
    <row r="35" spans="1:25" ht="30" customHeight="1">
      <c r="A35" s="46"/>
      <c r="B35" s="52" t="s">
        <v>50</v>
      </c>
      <c r="C35" s="35"/>
      <c r="D35" s="36"/>
      <c r="E35" s="45"/>
      <c r="F35" s="45"/>
      <c r="G35" s="45"/>
      <c r="H35" s="43"/>
    </row>
    <row r="36" spans="1:25" ht="30" customHeight="1">
      <c r="A36" s="46"/>
      <c r="B36" s="49">
        <v>14</v>
      </c>
      <c r="C36" s="35" t="s">
        <v>51</v>
      </c>
      <c r="D36" s="36">
        <v>940310</v>
      </c>
      <c r="E36" s="45" t="s">
        <v>52</v>
      </c>
      <c r="F36" s="45">
        <v>350</v>
      </c>
      <c r="G36" s="45">
        <v>3</v>
      </c>
      <c r="H36" s="43">
        <f>G36*F36</f>
        <v>1050</v>
      </c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30" customHeight="1">
      <c r="A37" s="46"/>
      <c r="B37" s="52" t="s">
        <v>53</v>
      </c>
      <c r="C37" s="35"/>
      <c r="D37" s="36"/>
      <c r="E37" s="45"/>
      <c r="F37" s="45"/>
      <c r="G37" s="45"/>
      <c r="H37" s="43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30" customHeight="1">
      <c r="A38" s="46"/>
      <c r="B38" s="47">
        <v>15</v>
      </c>
      <c r="C38" s="87" t="s">
        <v>77</v>
      </c>
      <c r="D38" s="36">
        <v>9954</v>
      </c>
      <c r="E38" s="88" t="s">
        <v>40</v>
      </c>
      <c r="F38" s="45">
        <v>900</v>
      </c>
      <c r="G38" s="45">
        <v>1</v>
      </c>
      <c r="H38" s="43">
        <f>G38*F38</f>
        <v>900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30" customHeight="1">
      <c r="A39" s="46"/>
      <c r="B39" s="49">
        <v>16</v>
      </c>
      <c r="C39" s="53" t="s">
        <v>54</v>
      </c>
      <c r="D39" s="36">
        <v>995462</v>
      </c>
      <c r="E39" s="45" t="s">
        <v>40</v>
      </c>
      <c r="F39" s="45">
        <v>1580</v>
      </c>
      <c r="G39" s="45">
        <v>1</v>
      </c>
      <c r="H39" s="43">
        <f t="shared" ref="H39" si="2">G39*F39</f>
        <v>1580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21" customHeight="1">
      <c r="A40" s="46"/>
      <c r="B40" s="54"/>
      <c r="C40" s="31"/>
      <c r="D40" s="31"/>
      <c r="E40" s="31"/>
      <c r="F40" s="55"/>
      <c r="G40" s="56" t="s">
        <v>55</v>
      </c>
      <c r="H40" s="57">
        <f>SUM(H19:H39)</f>
        <v>148924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21" customHeight="1">
      <c r="A41" s="46"/>
      <c r="B41" s="54"/>
      <c r="C41" s="31"/>
      <c r="D41" s="31"/>
      <c r="E41" s="31"/>
      <c r="F41" s="58"/>
      <c r="G41" s="58" t="s">
        <v>56</v>
      </c>
      <c r="H41" s="59">
        <f>H40*18%</f>
        <v>26806.32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21" customHeight="1">
      <c r="A42" s="46"/>
      <c r="B42" s="54"/>
      <c r="C42" s="31"/>
      <c r="D42" s="31"/>
      <c r="E42" s="31"/>
      <c r="F42" s="60" t="s">
        <v>55</v>
      </c>
      <c r="G42" s="55"/>
      <c r="H42" s="57">
        <f>H41+H40</f>
        <v>175730.32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0.75" customHeight="1" thickBot="1">
      <c r="A43" s="61"/>
      <c r="B43" s="62"/>
      <c r="C43" s="151" t="s">
        <v>78</v>
      </c>
      <c r="D43" s="63"/>
      <c r="E43" s="63"/>
      <c r="F43" s="63"/>
      <c r="G43" s="63"/>
      <c r="H43" s="6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0.75" customHeight="1" thickBot="1">
      <c r="A44" s="75" t="s">
        <v>57</v>
      </c>
      <c r="B44" s="107" t="s">
        <v>58</v>
      </c>
      <c r="C44" s="108"/>
      <c r="D44" s="65" t="s">
        <v>59</v>
      </c>
      <c r="E44" s="109" t="s">
        <v>60</v>
      </c>
      <c r="F44" s="108"/>
      <c r="G44" s="65" t="s">
        <v>61</v>
      </c>
      <c r="H44" s="66" t="s">
        <v>62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0.75" customHeight="1">
      <c r="A45" s="152">
        <v>1</v>
      </c>
      <c r="B45" s="100">
        <v>995456</v>
      </c>
      <c r="C45" s="93"/>
      <c r="D45" s="67">
        <v>0.18</v>
      </c>
      <c r="E45" s="110">
        <f>H20+H22</f>
        <v>35328</v>
      </c>
      <c r="F45" s="91"/>
      <c r="G45" s="68">
        <f t="shared" ref="G45:G53" si="3">18/100*E45</f>
        <v>6359.04</v>
      </c>
      <c r="H45" s="69">
        <f t="shared" ref="H45:H53" si="4">G45</f>
        <v>6359.04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0.75" customHeight="1">
      <c r="A46" s="152">
        <v>2</v>
      </c>
      <c r="B46" s="100">
        <v>995472</v>
      </c>
      <c r="C46" s="93"/>
      <c r="D46" s="70">
        <v>0.18</v>
      </c>
      <c r="E46" s="101">
        <f>SUM(H21,)</f>
        <v>17936</v>
      </c>
      <c r="F46" s="93"/>
      <c r="G46" s="71">
        <f t="shared" si="3"/>
        <v>3228.48</v>
      </c>
      <c r="H46" s="69">
        <f t="shared" si="4"/>
        <v>3228.48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0.75" customHeight="1">
      <c r="A47" s="152">
        <v>3</v>
      </c>
      <c r="B47" s="100">
        <v>995474</v>
      </c>
      <c r="C47" s="93"/>
      <c r="D47" s="70">
        <v>0.18</v>
      </c>
      <c r="E47" s="101">
        <f>H23</f>
        <v>22120</v>
      </c>
      <c r="F47" s="93"/>
      <c r="G47" s="71">
        <f t="shared" si="3"/>
        <v>3981.6</v>
      </c>
      <c r="H47" s="69">
        <f t="shared" si="4"/>
        <v>3981.6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0.75" customHeight="1">
      <c r="A48" s="152">
        <v>4</v>
      </c>
      <c r="B48" s="100">
        <v>995473</v>
      </c>
      <c r="C48" s="93"/>
      <c r="D48" s="70">
        <v>0.18</v>
      </c>
      <c r="E48" s="101">
        <f>SUM(H24,)</f>
        <v>9000</v>
      </c>
      <c r="F48" s="93"/>
      <c r="G48" s="71">
        <f t="shared" si="3"/>
        <v>1620</v>
      </c>
      <c r="H48" s="69">
        <f t="shared" si="4"/>
        <v>1620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0.75" customHeight="1">
      <c r="A49" s="152">
        <v>5</v>
      </c>
      <c r="B49" s="100">
        <v>995453</v>
      </c>
      <c r="C49" s="93"/>
      <c r="D49" s="70">
        <v>0.18</v>
      </c>
      <c r="E49" s="101">
        <f>SUM(H25,)</f>
        <v>3060</v>
      </c>
      <c r="F49" s="93"/>
      <c r="G49" s="71">
        <f t="shared" si="3"/>
        <v>550.79999999999995</v>
      </c>
      <c r="H49" s="69">
        <f t="shared" si="4"/>
        <v>550.79999999999995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0.75" customHeight="1">
      <c r="A50" s="152">
        <v>6</v>
      </c>
      <c r="B50" s="100">
        <v>9954</v>
      </c>
      <c r="C50" s="93"/>
      <c r="D50" s="70">
        <v>0.18</v>
      </c>
      <c r="E50" s="101">
        <f>H26+H38</f>
        <v>9400</v>
      </c>
      <c r="F50" s="93"/>
      <c r="G50" s="71">
        <f t="shared" si="3"/>
        <v>1692</v>
      </c>
      <c r="H50" s="69">
        <f t="shared" si="4"/>
        <v>1692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0.75" customHeight="1">
      <c r="A51" s="152">
        <v>7</v>
      </c>
      <c r="B51" s="100">
        <v>995462</v>
      </c>
      <c r="C51" s="93"/>
      <c r="D51" s="70">
        <v>0.18</v>
      </c>
      <c r="E51" s="101">
        <f>H28+H29+H30+H31+H39</f>
        <v>48580</v>
      </c>
      <c r="F51" s="93"/>
      <c r="G51" s="71">
        <f t="shared" si="3"/>
        <v>8744.4</v>
      </c>
      <c r="H51" s="69">
        <f t="shared" si="4"/>
        <v>8744.4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0.75" customHeight="1">
      <c r="A52" s="152">
        <v>8</v>
      </c>
      <c r="B52" s="100">
        <v>850440</v>
      </c>
      <c r="C52" s="93"/>
      <c r="D52" s="70">
        <v>0.18</v>
      </c>
      <c r="E52" s="101">
        <f>SUM(H33:H34)</f>
        <v>2450</v>
      </c>
      <c r="F52" s="93"/>
      <c r="G52" s="71">
        <f t="shared" si="3"/>
        <v>441</v>
      </c>
      <c r="H52" s="69">
        <f t="shared" si="4"/>
        <v>441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30.75" customHeight="1" thickBot="1">
      <c r="A53" s="152">
        <v>9</v>
      </c>
      <c r="B53" s="100">
        <v>940310</v>
      </c>
      <c r="C53" s="93"/>
      <c r="D53" s="70">
        <v>0.18</v>
      </c>
      <c r="E53" s="101">
        <f>SUM(H36,)</f>
        <v>1050</v>
      </c>
      <c r="F53" s="93"/>
      <c r="G53" s="71">
        <f t="shared" si="3"/>
        <v>189</v>
      </c>
      <c r="H53" s="69">
        <f t="shared" si="4"/>
        <v>189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30.75" customHeight="1" thickBot="1">
      <c r="A54" s="72"/>
      <c r="B54" s="102" t="s">
        <v>63</v>
      </c>
      <c r="C54" s="103"/>
      <c r="D54" s="73"/>
      <c r="E54" s="146">
        <f>SUM(E45:F53)</f>
        <v>148924</v>
      </c>
      <c r="F54" s="103"/>
      <c r="G54" s="74">
        <f>SUM(G45:G53)</f>
        <v>26806.32</v>
      </c>
      <c r="H54" s="75">
        <f>SUM(H45:H53)</f>
        <v>26806.32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6"/>
      <c r="B55" s="90" t="s">
        <v>64</v>
      </c>
      <c r="C55" s="91"/>
      <c r="D55" s="77"/>
      <c r="E55" s="147"/>
      <c r="F55" s="97"/>
      <c r="G55" s="153" t="s">
        <v>65</v>
      </c>
      <c r="H55" s="15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8"/>
      <c r="B56" s="92" t="s">
        <v>66</v>
      </c>
      <c r="C56" s="93"/>
      <c r="D56" s="30"/>
      <c r="E56" s="148"/>
      <c r="F56" s="97"/>
      <c r="G56" s="149" t="s">
        <v>67</v>
      </c>
      <c r="H56" s="12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8"/>
      <c r="B57" s="92" t="s">
        <v>68</v>
      </c>
      <c r="C57" s="93"/>
      <c r="D57" s="30"/>
      <c r="E57" s="148"/>
      <c r="F57" s="97"/>
      <c r="G57" s="150"/>
      <c r="H57" s="11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9"/>
      <c r="B58" s="94" t="s">
        <v>69</v>
      </c>
      <c r="C58" s="95"/>
      <c r="D58" s="30"/>
      <c r="E58" s="148"/>
      <c r="F58" s="97"/>
      <c r="G58" s="148"/>
      <c r="H58" s="121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9"/>
      <c r="B59" s="96"/>
      <c r="C59" s="97"/>
      <c r="D59" s="30"/>
      <c r="E59" s="148"/>
      <c r="F59" s="97"/>
      <c r="G59" s="148"/>
      <c r="H59" s="12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9"/>
      <c r="B60" s="96"/>
      <c r="C60" s="97"/>
      <c r="D60" s="30"/>
      <c r="E60" s="148"/>
      <c r="F60" s="97"/>
      <c r="G60" s="148"/>
      <c r="H60" s="12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9"/>
      <c r="B61" s="96"/>
      <c r="C61" s="97"/>
      <c r="D61" s="30"/>
      <c r="E61" s="114"/>
      <c r="F61" s="91"/>
      <c r="G61" s="114"/>
      <c r="H61" s="11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80"/>
      <c r="B62" s="98"/>
      <c r="C62" s="99"/>
      <c r="D62" s="81"/>
      <c r="E62" s="142" t="s">
        <v>70</v>
      </c>
      <c r="F62" s="143"/>
      <c r="G62" s="144" t="s">
        <v>71</v>
      </c>
      <c r="H62" s="14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H63" s="82"/>
    </row>
    <row r="64" spans="1:25" ht="15.75" customHeight="1">
      <c r="H64" s="82"/>
    </row>
    <row r="65" spans="8:8" ht="15.75" customHeight="1">
      <c r="H65" s="82"/>
    </row>
    <row r="66" spans="8:8" ht="15.75" customHeight="1">
      <c r="H66" s="82"/>
    </row>
    <row r="67" spans="8:8" ht="15.75" customHeight="1">
      <c r="H67" s="82"/>
    </row>
    <row r="68" spans="8:8" ht="15.75" customHeight="1">
      <c r="H68" s="82"/>
    </row>
    <row r="69" spans="8:8" ht="15.75" customHeight="1">
      <c r="H69" s="82"/>
    </row>
    <row r="70" spans="8:8" ht="15.75" customHeight="1">
      <c r="H70" s="82"/>
    </row>
    <row r="71" spans="8:8" ht="15.75" customHeight="1">
      <c r="H71" s="82"/>
    </row>
    <row r="72" spans="8:8" ht="15.75" customHeight="1">
      <c r="H72" s="82"/>
    </row>
    <row r="73" spans="8:8" ht="15.75" customHeight="1">
      <c r="H73" s="82"/>
    </row>
    <row r="74" spans="8:8" ht="15.75" customHeight="1">
      <c r="H74" s="82"/>
    </row>
    <row r="75" spans="8:8" ht="15.75" customHeight="1">
      <c r="H75" s="82"/>
    </row>
    <row r="76" spans="8:8" ht="15.75" customHeight="1">
      <c r="H76" s="82"/>
    </row>
    <row r="77" spans="8:8" ht="15.75" customHeight="1">
      <c r="H77" s="82"/>
    </row>
    <row r="78" spans="8:8" ht="15.75" customHeight="1">
      <c r="H78" s="82"/>
    </row>
    <row r="79" spans="8:8" ht="15.75" customHeight="1">
      <c r="H79" s="82"/>
    </row>
    <row r="80" spans="8:8" ht="15.75" customHeight="1">
      <c r="H80" s="82"/>
    </row>
    <row r="81" spans="8:8" ht="15.75" customHeight="1">
      <c r="H81" s="82"/>
    </row>
    <row r="82" spans="8:8" ht="15.75" customHeight="1">
      <c r="H82" s="82"/>
    </row>
    <row r="83" spans="8:8" ht="15.75" customHeight="1">
      <c r="H83" s="82"/>
    </row>
    <row r="84" spans="8:8" ht="15.75" customHeight="1">
      <c r="H84" s="82"/>
    </row>
    <row r="85" spans="8:8" ht="15.75" customHeight="1">
      <c r="H85" s="82"/>
    </row>
    <row r="86" spans="8:8" ht="15.75" customHeight="1">
      <c r="H86" s="82"/>
    </row>
    <row r="87" spans="8:8" ht="15.75" customHeight="1">
      <c r="H87" s="82"/>
    </row>
    <row r="88" spans="8:8" ht="15.75" customHeight="1">
      <c r="H88" s="82"/>
    </row>
    <row r="89" spans="8:8" ht="15.75" customHeight="1">
      <c r="H89" s="82"/>
    </row>
    <row r="90" spans="8:8" ht="15.75" customHeight="1">
      <c r="H90" s="82"/>
    </row>
    <row r="91" spans="8:8" ht="15.75" customHeight="1">
      <c r="H91" s="82"/>
    </row>
    <row r="92" spans="8:8" ht="15.75" customHeight="1">
      <c r="H92" s="82"/>
    </row>
    <row r="93" spans="8:8" ht="15.75" customHeight="1">
      <c r="H93" s="82"/>
    </row>
    <row r="94" spans="8:8" ht="15.75" customHeight="1">
      <c r="H94" s="82"/>
    </row>
    <row r="95" spans="8:8" ht="15.75" customHeight="1">
      <c r="H95" s="82"/>
    </row>
    <row r="96" spans="8:8" ht="15.75" customHeight="1">
      <c r="H96" s="82"/>
    </row>
    <row r="97" spans="8:8" ht="15.75" customHeight="1">
      <c r="H97" s="82"/>
    </row>
    <row r="98" spans="8:8" ht="15.75" customHeight="1">
      <c r="H98" s="82"/>
    </row>
    <row r="99" spans="8:8" ht="15.75" customHeight="1">
      <c r="H99" s="82"/>
    </row>
    <row r="100" spans="8:8" ht="15.75" customHeight="1">
      <c r="H100" s="82"/>
    </row>
    <row r="101" spans="8:8" ht="15.75" customHeight="1">
      <c r="H101" s="82"/>
    </row>
    <row r="102" spans="8:8" ht="15.75" customHeight="1">
      <c r="H102" s="82"/>
    </row>
    <row r="103" spans="8:8" ht="15.75" customHeight="1">
      <c r="H103" s="82"/>
    </row>
    <row r="104" spans="8:8" ht="15.75" customHeight="1">
      <c r="H104" s="82"/>
    </row>
    <row r="105" spans="8:8" ht="15.75" customHeight="1">
      <c r="H105" s="82"/>
    </row>
    <row r="106" spans="8:8" ht="15.75" customHeight="1">
      <c r="H106" s="82"/>
    </row>
    <row r="107" spans="8:8" ht="15.75" customHeight="1">
      <c r="H107" s="82"/>
    </row>
    <row r="108" spans="8:8" ht="15.75" customHeight="1">
      <c r="H108" s="82"/>
    </row>
    <row r="109" spans="8:8" ht="15.75" customHeight="1">
      <c r="H109" s="82"/>
    </row>
    <row r="110" spans="8:8" ht="15.75" customHeight="1">
      <c r="H110" s="82"/>
    </row>
    <row r="111" spans="8:8" ht="15.75" customHeight="1">
      <c r="H111" s="82"/>
    </row>
    <row r="112" spans="8:8" ht="15.75" customHeight="1">
      <c r="H112" s="82"/>
    </row>
    <row r="113" spans="8:8" ht="15.75" customHeight="1">
      <c r="H113" s="82"/>
    </row>
    <row r="114" spans="8:8" ht="15.75" customHeight="1">
      <c r="H114" s="82"/>
    </row>
    <row r="115" spans="8:8" ht="15.75" customHeight="1">
      <c r="H115" s="82"/>
    </row>
    <row r="116" spans="8:8" ht="15.75" customHeight="1">
      <c r="H116" s="82"/>
    </row>
    <row r="117" spans="8:8" ht="15.75" customHeight="1">
      <c r="H117" s="82"/>
    </row>
    <row r="118" spans="8:8" ht="15.75" customHeight="1">
      <c r="H118" s="82"/>
    </row>
    <row r="119" spans="8:8" ht="15.75" customHeight="1">
      <c r="H119" s="82"/>
    </row>
    <row r="120" spans="8:8" ht="15.75" customHeight="1">
      <c r="H120" s="82"/>
    </row>
    <row r="121" spans="8:8" ht="15.75" customHeight="1">
      <c r="H121" s="82"/>
    </row>
    <row r="122" spans="8:8" ht="15.75" customHeight="1">
      <c r="H122" s="82"/>
    </row>
    <row r="123" spans="8:8" ht="15.75" customHeight="1">
      <c r="H123" s="82"/>
    </row>
    <row r="124" spans="8:8" ht="15.75" customHeight="1">
      <c r="H124" s="82"/>
    </row>
    <row r="125" spans="8:8" ht="15.75" customHeight="1">
      <c r="H125" s="82"/>
    </row>
    <row r="126" spans="8:8" ht="15.75" customHeight="1">
      <c r="H126" s="82"/>
    </row>
    <row r="127" spans="8:8" ht="15.75" customHeight="1">
      <c r="H127" s="82"/>
    </row>
    <row r="128" spans="8:8" ht="15.75" customHeight="1">
      <c r="H128" s="82"/>
    </row>
    <row r="129" spans="8:8" ht="15.75" customHeight="1">
      <c r="H129" s="82"/>
    </row>
    <row r="130" spans="8:8" ht="15.75" customHeight="1">
      <c r="H130" s="82"/>
    </row>
    <row r="131" spans="8:8" ht="15.75" customHeight="1">
      <c r="H131" s="82"/>
    </row>
    <row r="132" spans="8:8" ht="15.75" customHeight="1">
      <c r="H132" s="82"/>
    </row>
    <row r="133" spans="8:8" ht="15.75" customHeight="1">
      <c r="H133" s="82"/>
    </row>
    <row r="134" spans="8:8" ht="15.75" customHeight="1">
      <c r="H134" s="82"/>
    </row>
    <row r="135" spans="8:8" ht="15.75" customHeight="1">
      <c r="H135" s="82"/>
    </row>
    <row r="136" spans="8:8" ht="15.75" customHeight="1">
      <c r="H136" s="82"/>
    </row>
    <row r="137" spans="8:8" ht="15.75" customHeight="1">
      <c r="H137" s="82"/>
    </row>
    <row r="138" spans="8:8" ht="15.75" customHeight="1">
      <c r="H138" s="82"/>
    </row>
    <row r="139" spans="8:8" ht="15.75" customHeight="1">
      <c r="H139" s="82"/>
    </row>
    <row r="140" spans="8:8" ht="15.75" customHeight="1">
      <c r="H140" s="82"/>
    </row>
    <row r="141" spans="8:8" ht="15.75" customHeight="1">
      <c r="H141" s="82"/>
    </row>
    <row r="142" spans="8:8" ht="15.75" customHeight="1">
      <c r="H142" s="82"/>
    </row>
    <row r="143" spans="8:8" ht="15.75" customHeight="1">
      <c r="H143" s="82"/>
    </row>
    <row r="144" spans="8:8" ht="15.75" customHeight="1">
      <c r="H144" s="82"/>
    </row>
    <row r="145" spans="8:8" ht="15.75" customHeight="1">
      <c r="H145" s="82"/>
    </row>
    <row r="146" spans="8:8" ht="15.75" customHeight="1">
      <c r="H146" s="82"/>
    </row>
    <row r="147" spans="8:8" ht="15.75" customHeight="1">
      <c r="H147" s="82"/>
    </row>
    <row r="148" spans="8:8" ht="15.75" customHeight="1">
      <c r="H148" s="82"/>
    </row>
    <row r="149" spans="8:8" ht="15.75" customHeight="1">
      <c r="H149" s="82"/>
    </row>
    <row r="150" spans="8:8" ht="15.75" customHeight="1">
      <c r="H150" s="82"/>
    </row>
    <row r="151" spans="8:8" ht="15.75" customHeight="1">
      <c r="H151" s="82"/>
    </row>
    <row r="152" spans="8:8" ht="15.75" customHeight="1">
      <c r="H152" s="82"/>
    </row>
    <row r="153" spans="8:8" ht="15.75" customHeight="1">
      <c r="H153" s="82"/>
    </row>
    <row r="154" spans="8:8" ht="15.75" customHeight="1">
      <c r="H154" s="82"/>
    </row>
    <row r="155" spans="8:8" ht="15.75" customHeight="1">
      <c r="H155" s="82"/>
    </row>
    <row r="156" spans="8:8" ht="15.75" customHeight="1">
      <c r="H156" s="82"/>
    </row>
    <row r="157" spans="8:8" ht="15.75" customHeight="1">
      <c r="H157" s="82"/>
    </row>
    <row r="158" spans="8:8" ht="15.75" customHeight="1">
      <c r="H158" s="82"/>
    </row>
    <row r="159" spans="8:8" ht="15.75" customHeight="1">
      <c r="H159" s="82"/>
    </row>
    <row r="160" spans="8:8" ht="15.75" customHeight="1">
      <c r="H160" s="82"/>
    </row>
    <row r="161" spans="8:8" ht="15.75" customHeight="1">
      <c r="H161" s="82"/>
    </row>
    <row r="162" spans="8:8" ht="15.75" customHeight="1">
      <c r="H162" s="82"/>
    </row>
    <row r="163" spans="8:8" ht="15.75" customHeight="1">
      <c r="H163" s="82"/>
    </row>
    <row r="164" spans="8:8" ht="15.75" customHeight="1">
      <c r="H164" s="82"/>
    </row>
    <row r="165" spans="8:8" ht="15.75" customHeight="1">
      <c r="H165" s="82"/>
    </row>
    <row r="166" spans="8:8" ht="15.75" customHeight="1">
      <c r="H166" s="82"/>
    </row>
    <row r="167" spans="8:8" ht="15.75" customHeight="1">
      <c r="H167" s="82"/>
    </row>
    <row r="168" spans="8:8" ht="15.75" customHeight="1">
      <c r="H168" s="82"/>
    </row>
    <row r="169" spans="8:8" ht="15.75" customHeight="1">
      <c r="H169" s="82"/>
    </row>
    <row r="170" spans="8:8" ht="15.75" customHeight="1">
      <c r="H170" s="82"/>
    </row>
    <row r="171" spans="8:8" ht="15.75" customHeight="1">
      <c r="H171" s="82"/>
    </row>
    <row r="172" spans="8:8" ht="15.75" customHeight="1">
      <c r="H172" s="82"/>
    </row>
    <row r="173" spans="8:8" ht="15.75" customHeight="1">
      <c r="H173" s="82"/>
    </row>
    <row r="174" spans="8:8" ht="15.75" customHeight="1">
      <c r="H174" s="82"/>
    </row>
    <row r="175" spans="8:8" ht="15.75" customHeight="1">
      <c r="H175" s="82"/>
    </row>
    <row r="176" spans="8:8" ht="15.75" customHeight="1">
      <c r="H176" s="82"/>
    </row>
    <row r="177" spans="8:8" ht="15.75" customHeight="1">
      <c r="H177" s="82"/>
    </row>
    <row r="178" spans="8:8" ht="15.75" customHeight="1">
      <c r="H178" s="82"/>
    </row>
    <row r="179" spans="8:8" ht="15.75" customHeight="1">
      <c r="H179" s="82"/>
    </row>
    <row r="180" spans="8:8" ht="15.75" customHeight="1">
      <c r="H180" s="82"/>
    </row>
    <row r="181" spans="8:8" ht="15.75" customHeight="1">
      <c r="H181" s="82"/>
    </row>
    <row r="182" spans="8:8" ht="15.75" customHeight="1">
      <c r="H182" s="82"/>
    </row>
    <row r="183" spans="8:8" ht="15.75" customHeight="1">
      <c r="H183" s="82"/>
    </row>
    <row r="184" spans="8:8" ht="15.75" customHeight="1">
      <c r="H184" s="82"/>
    </row>
    <row r="185" spans="8:8" ht="15.75" customHeight="1">
      <c r="H185" s="82"/>
    </row>
    <row r="186" spans="8:8" ht="15.75" customHeight="1">
      <c r="H186" s="82"/>
    </row>
    <row r="187" spans="8:8" ht="15.75" customHeight="1">
      <c r="H187" s="82"/>
    </row>
    <row r="188" spans="8:8" ht="15.75" customHeight="1">
      <c r="H188" s="82"/>
    </row>
    <row r="189" spans="8:8" ht="15.75" customHeight="1">
      <c r="H189" s="82"/>
    </row>
    <row r="190" spans="8:8" ht="15.75" customHeight="1">
      <c r="H190" s="82"/>
    </row>
    <row r="191" spans="8:8" ht="15.75" customHeight="1">
      <c r="H191" s="82"/>
    </row>
    <row r="192" spans="8:8" ht="15.75" customHeight="1">
      <c r="H192" s="82"/>
    </row>
    <row r="193" spans="8:8" ht="15.75" customHeight="1">
      <c r="H193" s="82"/>
    </row>
    <row r="194" spans="8:8" ht="15.75" customHeight="1">
      <c r="H194" s="82"/>
    </row>
    <row r="195" spans="8:8" ht="15.75" customHeight="1">
      <c r="H195" s="82"/>
    </row>
    <row r="196" spans="8:8" ht="15.75" customHeight="1">
      <c r="H196" s="82"/>
    </row>
    <row r="197" spans="8:8" ht="15.75" customHeight="1">
      <c r="H197" s="82"/>
    </row>
    <row r="198" spans="8:8" ht="15.75" customHeight="1">
      <c r="H198" s="82"/>
    </row>
    <row r="199" spans="8:8" ht="15.75" customHeight="1">
      <c r="H199" s="82"/>
    </row>
    <row r="200" spans="8:8" ht="15.75" customHeight="1">
      <c r="H200" s="82"/>
    </row>
    <row r="201" spans="8:8" ht="15.75" customHeight="1">
      <c r="H201" s="82"/>
    </row>
    <row r="202" spans="8:8" ht="15.75" customHeight="1">
      <c r="H202" s="82"/>
    </row>
    <row r="203" spans="8:8" ht="15.75" customHeight="1">
      <c r="H203" s="82"/>
    </row>
    <row r="204" spans="8:8" ht="15.75" customHeight="1">
      <c r="H204" s="82"/>
    </row>
    <row r="205" spans="8:8" ht="15.75" customHeight="1">
      <c r="H205" s="82"/>
    </row>
    <row r="206" spans="8:8" ht="15.75" customHeight="1">
      <c r="H206" s="82"/>
    </row>
    <row r="207" spans="8:8" ht="15.75" customHeight="1">
      <c r="H207" s="82"/>
    </row>
    <row r="208" spans="8:8" ht="15.75" customHeight="1">
      <c r="H208" s="82"/>
    </row>
    <row r="209" spans="8:8" ht="15.75" customHeight="1">
      <c r="H209" s="82"/>
    </row>
    <row r="210" spans="8:8" ht="15.75" customHeight="1">
      <c r="H210" s="82"/>
    </row>
    <row r="211" spans="8:8" ht="15.75" customHeight="1">
      <c r="H211" s="82"/>
    </row>
    <row r="212" spans="8:8" ht="15.75" customHeight="1">
      <c r="H212" s="82"/>
    </row>
    <row r="213" spans="8:8" ht="15.75" customHeight="1">
      <c r="H213" s="82"/>
    </row>
    <row r="214" spans="8:8" ht="15.75" customHeight="1">
      <c r="H214" s="82"/>
    </row>
    <row r="215" spans="8:8" ht="15.75" customHeight="1">
      <c r="H215" s="82"/>
    </row>
    <row r="216" spans="8:8" ht="15.75" customHeight="1">
      <c r="H216" s="82"/>
    </row>
    <row r="217" spans="8:8" ht="15.75" customHeight="1">
      <c r="H217" s="82"/>
    </row>
    <row r="218" spans="8:8" ht="15.75" customHeight="1">
      <c r="H218" s="82"/>
    </row>
    <row r="219" spans="8:8" ht="15.75" customHeight="1">
      <c r="H219" s="82"/>
    </row>
    <row r="220" spans="8:8" ht="15.75" customHeight="1">
      <c r="H220" s="82"/>
    </row>
    <row r="221" spans="8:8" ht="15.75" customHeight="1">
      <c r="H221" s="82"/>
    </row>
    <row r="222" spans="8:8" ht="15.75" customHeight="1">
      <c r="H222" s="82"/>
    </row>
    <row r="223" spans="8:8" ht="15.75" customHeight="1">
      <c r="H223" s="82"/>
    </row>
    <row r="224" spans="8:8" ht="15.75" customHeight="1">
      <c r="H224" s="82"/>
    </row>
    <row r="225" spans="8:8" ht="15.75" customHeight="1">
      <c r="H225" s="82"/>
    </row>
    <row r="226" spans="8:8" ht="15.75" customHeight="1">
      <c r="H226" s="82"/>
    </row>
    <row r="227" spans="8:8" ht="15.75" customHeight="1">
      <c r="H227" s="82"/>
    </row>
    <row r="228" spans="8:8" ht="15.75" customHeight="1">
      <c r="H228" s="82"/>
    </row>
    <row r="229" spans="8:8" ht="15.75" customHeight="1">
      <c r="H229" s="82"/>
    </row>
    <row r="230" spans="8:8" ht="15.75" customHeight="1">
      <c r="H230" s="82"/>
    </row>
    <row r="231" spans="8:8" ht="15.75" customHeight="1">
      <c r="H231" s="82"/>
    </row>
    <row r="232" spans="8:8" ht="15.75" customHeight="1">
      <c r="H232" s="82"/>
    </row>
    <row r="233" spans="8:8" ht="15.75" customHeight="1">
      <c r="H233" s="82"/>
    </row>
    <row r="234" spans="8:8" ht="15.75" customHeight="1">
      <c r="H234" s="82"/>
    </row>
    <row r="235" spans="8:8" ht="15.75" customHeight="1">
      <c r="H235" s="82"/>
    </row>
    <row r="236" spans="8:8" ht="15.75" customHeight="1">
      <c r="H236" s="82"/>
    </row>
    <row r="237" spans="8:8" ht="15.75" customHeight="1">
      <c r="H237" s="82"/>
    </row>
    <row r="238" spans="8:8" ht="15.75" customHeight="1">
      <c r="H238" s="82"/>
    </row>
    <row r="239" spans="8:8" ht="15.75" customHeight="1">
      <c r="H239" s="82"/>
    </row>
    <row r="240" spans="8:8" ht="15.75" customHeight="1">
      <c r="H240" s="82"/>
    </row>
    <row r="241" spans="8:8" ht="15.75" customHeight="1">
      <c r="H241" s="82"/>
    </row>
    <row r="242" spans="8:8" ht="15.75" customHeight="1">
      <c r="H242" s="82"/>
    </row>
    <row r="243" spans="8:8" ht="15.75" customHeight="1">
      <c r="H243" s="82"/>
    </row>
    <row r="244" spans="8:8" ht="15.75" customHeight="1">
      <c r="H244" s="82"/>
    </row>
    <row r="245" spans="8:8" ht="15.75" customHeight="1">
      <c r="H245" s="82"/>
    </row>
    <row r="246" spans="8:8" ht="15.75" customHeight="1">
      <c r="H246" s="82"/>
    </row>
    <row r="247" spans="8:8" ht="15.75" customHeight="1">
      <c r="H247" s="82"/>
    </row>
    <row r="248" spans="8:8" ht="15.75" customHeight="1">
      <c r="H248" s="82"/>
    </row>
    <row r="249" spans="8:8" ht="15.75" customHeight="1">
      <c r="H249" s="82"/>
    </row>
    <row r="250" spans="8:8" ht="15.75" customHeight="1">
      <c r="H250" s="82"/>
    </row>
    <row r="251" spans="8:8" ht="15.75" customHeight="1">
      <c r="H251" s="82"/>
    </row>
    <row r="252" spans="8:8" ht="15.75" customHeight="1">
      <c r="H252" s="82"/>
    </row>
    <row r="253" spans="8:8" ht="15.75" customHeight="1">
      <c r="H253" s="82"/>
    </row>
    <row r="254" spans="8:8" ht="15.75" customHeight="1">
      <c r="H254" s="82"/>
    </row>
    <row r="255" spans="8:8" ht="15.75" customHeight="1">
      <c r="H255" s="82"/>
    </row>
    <row r="256" spans="8:8" ht="15.75" customHeight="1">
      <c r="H256" s="82"/>
    </row>
    <row r="257" spans="8:8" ht="15.75" customHeight="1">
      <c r="H257" s="82"/>
    </row>
    <row r="258" spans="8:8" ht="15.75" customHeight="1">
      <c r="H258" s="82"/>
    </row>
    <row r="259" spans="8:8" ht="15.75" customHeight="1">
      <c r="H259" s="82"/>
    </row>
    <row r="260" spans="8:8" ht="15.75" customHeight="1">
      <c r="H260" s="82"/>
    </row>
    <row r="261" spans="8:8" ht="15.75" customHeight="1">
      <c r="H261" s="82"/>
    </row>
    <row r="262" spans="8:8" ht="15.75" customHeight="1">
      <c r="H262" s="82"/>
    </row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6">
    <mergeCell ref="E62:F62"/>
    <mergeCell ref="G62:H62"/>
    <mergeCell ref="E53:F53"/>
    <mergeCell ref="E54:F54"/>
    <mergeCell ref="E55:F61"/>
    <mergeCell ref="G55:H55"/>
    <mergeCell ref="G56:H56"/>
    <mergeCell ref="G57:H61"/>
    <mergeCell ref="B1:B2"/>
    <mergeCell ref="C1:H1"/>
    <mergeCell ref="C2:H2"/>
    <mergeCell ref="B3:H3"/>
    <mergeCell ref="E4:F4"/>
    <mergeCell ref="G4:H4"/>
    <mergeCell ref="G5:H5"/>
    <mergeCell ref="E5:F5"/>
    <mergeCell ref="B6:C6"/>
    <mergeCell ref="E6:F6"/>
    <mergeCell ref="G6:H6"/>
    <mergeCell ref="E7:F7"/>
    <mergeCell ref="E8:F8"/>
    <mergeCell ref="G8:H8"/>
    <mergeCell ref="B9:C9"/>
    <mergeCell ref="E9:H9"/>
    <mergeCell ref="G7:H7"/>
    <mergeCell ref="F10:H10"/>
    <mergeCell ref="F11:H12"/>
    <mergeCell ref="F13:H13"/>
    <mergeCell ref="F14:H14"/>
    <mergeCell ref="F15:H15"/>
    <mergeCell ref="C11:C12"/>
    <mergeCell ref="B16:C16"/>
    <mergeCell ref="B44:C44"/>
    <mergeCell ref="E44:F44"/>
    <mergeCell ref="B45:C45"/>
    <mergeCell ref="E45:F45"/>
    <mergeCell ref="E46:F46"/>
    <mergeCell ref="B52:C52"/>
    <mergeCell ref="B53:C53"/>
    <mergeCell ref="B54:C54"/>
    <mergeCell ref="E47:F47"/>
    <mergeCell ref="E48:F48"/>
    <mergeCell ref="E49:F49"/>
    <mergeCell ref="E50:F50"/>
    <mergeCell ref="E51:F51"/>
    <mergeCell ref="E52:F52"/>
    <mergeCell ref="B55:C55"/>
    <mergeCell ref="B56:C56"/>
    <mergeCell ref="B57:C57"/>
    <mergeCell ref="B58:C62"/>
    <mergeCell ref="B46:C46"/>
    <mergeCell ref="B47:C47"/>
    <mergeCell ref="B48:C48"/>
    <mergeCell ref="B49:C49"/>
    <mergeCell ref="B50:C50"/>
    <mergeCell ref="B51:C51"/>
  </mergeCells>
  <dataValidations count="2">
    <dataValidation type="custom" allowBlank="1" showErrorMessage="1" sqref="G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Toilet-Bill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2026-04-15T07:15:31Z</dcterms:created>
  <dcterms:modified xsi:type="dcterms:W3CDTF">2026-04-21T05:43:52Z</dcterms:modified>
</cp:coreProperties>
</file>