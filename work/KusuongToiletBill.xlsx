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ilet-Bill" sheetId="1" r:id="rId5"/>
  </sheets>
  <definedNames/>
  <calcPr/>
</workbook>
</file>

<file path=xl/sharedStrings.xml><?xml version="1.0" encoding="utf-8"?>
<sst xmlns="http://schemas.openxmlformats.org/spreadsheetml/2006/main" count="114" uniqueCount="90">
  <si>
    <t>M/S I FOUR U ENGINEERING SERVICES</t>
  </si>
  <si>
    <t>Office Address :  House No. 329, New Karmik Nagar, PO ISM, Dhanbad,
Jharkhand, 826004, Ph No. +91 7042220470</t>
  </si>
  <si>
    <t>GSTIN : 20ARNPA8397C1ZX</t>
  </si>
  <si>
    <t xml:space="preserve">INVOICE NUMBER </t>
  </si>
  <si>
    <t>17/CH/FY/25-26</t>
  </si>
  <si>
    <t>Transportation Mode</t>
  </si>
  <si>
    <t>Work at site</t>
  </si>
  <si>
    <t xml:space="preserve">GSTIN : </t>
  </si>
  <si>
    <r>
      <rPr>
        <rFont val="Bookman Old Style"/>
        <b/>
        <color rgb="FF1F1F1F"/>
        <sz val="13.0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</si>
  <si>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</si>
  <si>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</si>
  <si>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</si>
  <si>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</si>
  <si>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</si>
  <si>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</si>
  <si>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Kurseong , Darjeeling (WB) -734203</t>
  </si>
  <si>
    <t>Details of Reciever (Billed to)</t>
  </si>
  <si>
    <t>Details of Consignee (Work at Site)</t>
  </si>
  <si>
    <t>Name</t>
  </si>
  <si>
    <t>Cholamandalam Investment And Finance Co. ltd</t>
  </si>
  <si>
    <t>Cholamandalam Investment And Finance Co. ltd.</t>
  </si>
  <si>
    <t>Address</t>
  </si>
  <si>
    <t>Fifth Floor,55 and 5/1, Chowringhee Road, Chowringee Court,Kolkata , West bengal . Pin-700071</t>
  </si>
  <si>
    <t>First Floor , Holding No.- 57, A.K. Mukherjee Road, Ward No.-14, Po &amp; PS- Kurseong , Dt.- Darjeeling , (WB) Pin- 734203</t>
  </si>
  <si>
    <t>State</t>
  </si>
  <si>
    <t>West Bengal</t>
  </si>
  <si>
    <t>State Code</t>
  </si>
  <si>
    <t>GSTIN NO.</t>
  </si>
  <si>
    <t>19AAACC1226H1Z1</t>
  </si>
  <si>
    <t>W/0: 28605/11.02.2026</t>
  </si>
  <si>
    <t>S NO.</t>
  </si>
  <si>
    <t>ITEM NAME</t>
  </si>
  <si>
    <t>DESCRIPTION OF THE ITEM</t>
  </si>
  <si>
    <t>SAC</t>
  </si>
  <si>
    <t>UNIT</t>
  </si>
  <si>
    <t>Price</t>
  </si>
  <si>
    <t>Quantity</t>
  </si>
  <si>
    <t>Amount</t>
  </si>
  <si>
    <t>Civil Works</t>
  </si>
  <si>
    <t>Block Masonary</t>
  </si>
  <si>
    <t>Sft</t>
  </si>
  <si>
    <t>Plastering</t>
  </si>
  <si>
    <t>Raised Masonary Flooring</t>
  </si>
  <si>
    <t>Flooring Tiles</t>
  </si>
  <si>
    <t>Dado Tiles</t>
  </si>
  <si>
    <t>Painting</t>
  </si>
  <si>
    <t>Water Proofing</t>
  </si>
  <si>
    <t>Tile Removal</t>
  </si>
  <si>
    <t>Plastering Removal</t>
  </si>
  <si>
    <t>Door- (2100mm x 750 mm)</t>
  </si>
  <si>
    <t>Nos</t>
  </si>
  <si>
    <t>Plumbing</t>
  </si>
  <si>
    <t>Wash Basin</t>
  </si>
  <si>
    <t>EWC Fitting</t>
  </si>
  <si>
    <t xml:space="preserve">UPVC Fittings </t>
  </si>
  <si>
    <t>Lumpsum</t>
  </si>
  <si>
    <t>PVC Fittings</t>
  </si>
  <si>
    <t>Electrical</t>
  </si>
  <si>
    <t>Exhaust Fan</t>
  </si>
  <si>
    <t>Lighting</t>
  </si>
  <si>
    <t>Misc</t>
  </si>
  <si>
    <t>Mirror</t>
  </si>
  <si>
    <t>SFT</t>
  </si>
  <si>
    <t>EXTRA</t>
  </si>
  <si>
    <t>Tiles Skirting</t>
  </si>
  <si>
    <t>RFT</t>
  </si>
  <si>
    <t>Water provision</t>
  </si>
  <si>
    <t>Ltr</t>
  </si>
  <si>
    <t xml:space="preserve">Providing and fixing Extra Bib Cock </t>
  </si>
  <si>
    <t>Providing and Fixing toilet paper holder</t>
  </si>
  <si>
    <t>Repair and maintenance of existing toilet</t>
  </si>
  <si>
    <t>Lump</t>
  </si>
  <si>
    <t>GRAND TOTAL</t>
  </si>
  <si>
    <t>IGST 18%</t>
  </si>
  <si>
    <t>Total- One Lakh Fifty One Thousand Seven Hundred Fifty Five Rupees And Fifty Five  Paisa Only</t>
  </si>
  <si>
    <t>S No.</t>
  </si>
  <si>
    <t>HSN/SAC</t>
  </si>
  <si>
    <t>TAX RATE</t>
  </si>
  <si>
    <t>TAXABLE AMOUNT</t>
  </si>
  <si>
    <t>IGST AMT</t>
  </si>
  <si>
    <t>TOTAL TAX</t>
  </si>
  <si>
    <t>TOTAL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</si>
  <si>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</si>
  <si>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</si>
  <si>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</si>
  <si>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</si>
  <si>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 xml:space="preserve">Bank IFSC and Address : HDFC0002679 , Sri Ram City Saraidhela, 828127 </t>
  </si>
  <si>
    <t>Terms and Conditions</t>
  </si>
  <si>
    <t>Common Seal</t>
  </si>
  <si>
    <t>Authorised Signatory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</si>
</sst>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4">
    <font>
      <sz val="10.0"/>
      <color rgb="FF000000"/>
      <name val="Arial"/>
      <scheme val="minor"/>
    </font>
    <font>
      <sz val="10.0"/>
      <color theme="1"/>
      <name val="Arial"/>
    </font>
    <font>
      <b/>
      <sz val="22.0"/>
      <color theme="1"/>
      <name val="Bookman Old Style"/>
    </font>
    <font/>
    <font>
      <b/>
      <sz val="16.0"/>
      <color theme="1"/>
      <name val="Bookman Old Style"/>
    </font>
    <font>
      <b/>
      <sz val="12.0"/>
      <color theme="1"/>
      <name val="Bookman Old Style"/>
    </font>
    <font>
      <b/>
      <sz val="13.0"/>
      <color theme="1"/>
      <name val="Bookman Old Style"/>
    </font>
    <font>
      <sz val="13.0"/>
      <color theme="1"/>
      <name val="Arial"/>
      <scheme val="minor"/>
    </font>
    <font>
      <sz val="13.0"/>
      <color theme="1"/>
      <name val="Arial"/>
    </font>
    <font>
      <b/>
      <sz val="13.0"/>
      <color theme="1"/>
      <name val="Calibri"/>
    </font>
    <font>
      <b/>
      <sz val="13.0"/>
      <color rgb="FF0E2841"/>
      <name val="Aptos Narrow"/>
    </font>
    <font>
      <b/>
      <sz val="13.0"/>
      <color rgb="FF0E2841"/>
      <name val="Arial"/>
    </font>
    <font>
      <b/>
      <sz val="13.0"/>
      <color theme="1"/>
      <name val="Arial"/>
    </font>
    <font>
      <b/>
      <sz val="13.0"/>
      <color theme="1"/>
      <name val="Aptos Narrow"/>
    </font>
    <font>
      <b/>
      <sz val="13.0"/>
      <color rgb="FF000000"/>
      <name val="Arial"/>
    </font>
    <font>
      <sz val="13.0"/>
      <color theme="1"/>
      <name val="Aptos Narrow"/>
    </font>
    <font>
      <sz val="12.0"/>
      <color rgb="FF000000"/>
      <name val="Arial"/>
    </font>
    <font>
      <sz val="12.0"/>
      <color theme="1"/>
      <name val="Arial"/>
    </font>
    <font>
      <sz val="12.0"/>
      <color theme="1"/>
      <name val="Aptos Narrow"/>
    </font>
    <font>
      <b/>
      <sz val="12.0"/>
      <color theme="1"/>
      <name val="Aptos Narrow"/>
    </font>
    <font>
      <sz val="10.0"/>
      <color rgb="FF000000"/>
      <name val="Arial"/>
    </font>
    <font>
      <sz val="13.0"/>
      <color rgb="FF000000"/>
      <name val="Arial"/>
    </font>
    <font>
      <b/>
      <sz val="12.0"/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DB9CA"/>
        <bgColor rgb="FFADB9CA"/>
      </patternFill>
    </fill>
  </fills>
  <borders count="62">
    <border/>
    <border>
      <left style="medium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1" numFmtId="0" xfId="0" applyBorder="1" applyFont="1"/>
    <xf borderId="7" fillId="0" fontId="3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9" fillId="0" fontId="6" numFmtId="0" xfId="0" applyAlignment="1" applyBorder="1" applyFont="1">
      <alignment horizontal="left"/>
    </xf>
    <xf borderId="10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12" fillId="0" fontId="3" numFmtId="0" xfId="0" applyBorder="1" applyFont="1"/>
    <xf borderId="13" fillId="0" fontId="6" numFmtId="0" xfId="0" applyAlignment="1" applyBorder="1" applyFont="1">
      <alignment horizontal="center"/>
    </xf>
    <xf borderId="14" fillId="0" fontId="3" numFmtId="0" xfId="0" applyBorder="1" applyFont="1"/>
    <xf borderId="0" fillId="0" fontId="7" numFmtId="0" xfId="0" applyFont="1"/>
    <xf borderId="15" fillId="0" fontId="6" numFmtId="0" xfId="0" applyAlignment="1" applyBorder="1" applyFont="1">
      <alignment horizontal="center"/>
    </xf>
    <xf borderId="16" fillId="0" fontId="6" numFmtId="0" xfId="0" applyAlignment="1" applyBorder="1" applyFont="1">
      <alignment horizontal="left" vertical="center"/>
    </xf>
    <xf borderId="17" fillId="0" fontId="6" numFmtId="0" xfId="0" applyAlignment="1" applyBorder="1" applyFont="1">
      <alignment horizontal="center"/>
    </xf>
    <xf borderId="18" fillId="0" fontId="3" numFmtId="0" xfId="0" applyBorder="1" applyFont="1"/>
    <xf borderId="19" fillId="0" fontId="6" numFmtId="0" xfId="0" applyAlignment="1" applyBorder="1" applyFont="1">
      <alignment horizontal="center"/>
    </xf>
    <xf borderId="20" fillId="0" fontId="3" numFmtId="0" xfId="0" applyBorder="1" applyFont="1"/>
    <xf borderId="6" fillId="0" fontId="6" numFmtId="0" xfId="0" applyAlignment="1" applyBorder="1" applyFont="1">
      <alignment horizontal="left"/>
    </xf>
    <xf borderId="19" fillId="0" fontId="6" numFmtId="164" xfId="0" applyAlignment="1" applyBorder="1" applyFont="1" applyNumberFormat="1">
      <alignment horizontal="center"/>
    </xf>
    <xf borderId="21" fillId="0" fontId="6" numFmtId="0" xfId="0" applyAlignment="1" applyBorder="1" applyFont="1">
      <alignment horizontal="center"/>
    </xf>
    <xf borderId="22" fillId="0" fontId="6" numFmtId="164" xfId="0" applyAlignment="1" applyBorder="1" applyFont="1" applyNumberFormat="1">
      <alignment horizontal="left"/>
    </xf>
    <xf borderId="23" fillId="0" fontId="6" numFmtId="0" xfId="0" applyAlignment="1" applyBorder="1" applyFont="1">
      <alignment horizontal="center"/>
    </xf>
    <xf borderId="24" fillId="0" fontId="3" numFmtId="0" xfId="0" applyBorder="1" applyFont="1"/>
    <xf borderId="25" fillId="0" fontId="6" numFmtId="0" xfId="0" applyAlignment="1" applyBorder="1" applyFont="1">
      <alignment vertical="top"/>
    </xf>
    <xf borderId="22" fillId="0" fontId="8" numFmtId="0" xfId="0" applyAlignment="1" applyBorder="1" applyFont="1">
      <alignment horizontal="center" shrinkToFit="0" wrapText="1"/>
    </xf>
    <xf borderId="26" fillId="0" fontId="6" numFmtId="0" xfId="0" applyAlignment="1" applyBorder="1" applyFont="1">
      <alignment horizontal="center"/>
    </xf>
    <xf borderId="27" fillId="0" fontId="6" numFmtId="0" xfId="0" applyAlignment="1" applyBorder="1" applyFont="1">
      <alignment horizontal="center"/>
    </xf>
    <xf borderId="28" fillId="0" fontId="6" numFmtId="0" xfId="0" applyAlignment="1" applyBorder="1" applyFont="1">
      <alignment horizontal="center"/>
    </xf>
    <xf borderId="29" fillId="0" fontId="6" numFmtId="0" xfId="0" applyAlignment="1" applyBorder="1" applyFont="1">
      <alignment horizontal="center"/>
    </xf>
    <xf borderId="30" fillId="0" fontId="3" numFmtId="0" xfId="0" applyBorder="1" applyFont="1"/>
    <xf borderId="31" fillId="0" fontId="3" numFmtId="0" xfId="0" applyBorder="1" applyFont="1"/>
    <xf borderId="11" fillId="0" fontId="6" numFmtId="0" xfId="0" applyAlignment="1" applyBorder="1" applyFont="1">
      <alignment horizontal="left"/>
    </xf>
    <xf borderId="32" fillId="0" fontId="3" numFmtId="0" xfId="0" applyBorder="1" applyFont="1"/>
    <xf borderId="16" fillId="0" fontId="9" numFmtId="0" xfId="0" applyAlignment="1" applyBorder="1" applyFont="1">
      <alignment horizontal="left"/>
    </xf>
    <xf borderId="19" fillId="2" fontId="10" numFmtId="0" xfId="0" applyAlignment="1" applyBorder="1" applyFill="1" applyFont="1">
      <alignment horizontal="left" vertical="top"/>
    </xf>
    <xf borderId="17" fillId="0" fontId="3" numFmtId="0" xfId="0" applyBorder="1" applyFont="1"/>
    <xf borderId="33" fillId="0" fontId="9" numFmtId="0" xfId="0" applyAlignment="1" applyBorder="1" applyFont="1">
      <alignment horizontal="left" shrinkToFit="0" vertical="top" wrapText="1"/>
    </xf>
    <xf borderId="34" fillId="3" fontId="11" numFmtId="49" xfId="0" applyAlignment="1" applyBorder="1" applyFill="1" applyFont="1" applyNumberFormat="1">
      <alignment horizontal="left" shrinkToFit="0" vertical="top" wrapText="1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10" fillId="0" fontId="3" numFmtId="0" xfId="0" applyBorder="1" applyFont="1"/>
    <xf borderId="39" fillId="0" fontId="3" numFmtId="0" xfId="0" applyBorder="1" applyFont="1"/>
    <xf borderId="16" fillId="0" fontId="12" numFmtId="0" xfId="0" applyAlignment="1" applyBorder="1" applyFont="1">
      <alignment horizontal="left"/>
    </xf>
    <xf borderId="19" fillId="0" fontId="12" numFmtId="0" xfId="0" applyAlignment="1" applyBorder="1" applyFont="1">
      <alignment horizontal="left"/>
    </xf>
    <xf borderId="16" fillId="0" fontId="6" numFmtId="0" xfId="0" applyAlignment="1" applyBorder="1" applyFont="1">
      <alignment horizontal="left"/>
    </xf>
    <xf borderId="19" fillId="0" fontId="6" numFmtId="0" xfId="0" applyAlignment="1" applyBorder="1" applyFont="1">
      <alignment horizontal="left"/>
    </xf>
    <xf borderId="22" fillId="0" fontId="9" numFmtId="0" xfId="0" applyAlignment="1" applyBorder="1" applyFont="1">
      <alignment horizontal="left" shrinkToFit="0" vertical="top" wrapText="1"/>
    </xf>
    <xf borderId="40" fillId="0" fontId="9" numFmtId="0" xfId="0" applyAlignment="1" applyBorder="1" applyFont="1">
      <alignment horizontal="left"/>
    </xf>
    <xf borderId="41" fillId="0" fontId="3" numFmtId="0" xfId="0" applyBorder="1" applyFont="1"/>
    <xf borderId="42" fillId="0" fontId="3" numFmtId="0" xfId="0" applyBorder="1" applyFont="1"/>
    <xf borderId="43" fillId="0" fontId="6" numFmtId="0" xfId="0" applyAlignment="1" applyBorder="1" applyFont="1">
      <alignment horizontal="left"/>
    </xf>
    <xf borderId="44" fillId="0" fontId="3" numFmtId="0" xfId="0" applyBorder="1" applyFont="1"/>
    <xf borderId="45" fillId="0" fontId="6" numFmtId="0" xfId="0" applyAlignment="1" applyBorder="1" applyFont="1">
      <alignment horizontal="center"/>
    </xf>
    <xf borderId="46" fillId="0" fontId="6" numFmtId="0" xfId="0" applyAlignment="1" applyBorder="1" applyFont="1">
      <alignment horizontal="center"/>
    </xf>
    <xf borderId="47" fillId="0" fontId="6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3" fillId="0" fontId="12" numFmtId="0" xfId="0" applyAlignment="1" applyBorder="1" applyFont="1">
      <alignment horizontal="center" shrinkToFit="0" wrapText="1"/>
    </xf>
    <xf borderId="15" fillId="0" fontId="13" numFmtId="0" xfId="0" applyAlignment="1" applyBorder="1" applyFont="1">
      <alignment horizontal="center" shrinkToFit="0" wrapText="1"/>
    </xf>
    <xf borderId="28" fillId="0" fontId="13" numFmtId="0" xfId="0" applyAlignment="1" applyBorder="1" applyFont="1">
      <alignment horizontal="center" shrinkToFit="0" wrapText="1"/>
    </xf>
    <xf borderId="28" fillId="0" fontId="12" numFmtId="0" xfId="0" applyAlignment="1" applyBorder="1" applyFont="1">
      <alignment horizontal="center" shrinkToFit="0" wrapText="1"/>
    </xf>
    <xf borderId="28" fillId="0" fontId="13" numFmtId="0" xfId="0" applyAlignment="1" applyBorder="1" applyFont="1">
      <alignment horizontal="center"/>
    </xf>
    <xf borderId="16" fillId="0" fontId="12" numFmtId="0" xfId="0" applyAlignment="1" applyBorder="1" applyFont="1">
      <alignment horizontal="center"/>
    </xf>
    <xf borderId="6" fillId="0" fontId="14" numFmtId="0" xfId="0" applyAlignment="1" applyBorder="1" applyFont="1">
      <alignment horizontal="center" shrinkToFit="0" vertical="center" wrapText="1"/>
    </xf>
    <xf borderId="15" fillId="0" fontId="14" numFmtId="0" xfId="0" applyAlignment="1" applyBorder="1" applyFont="1">
      <alignment horizontal="center" shrinkToFit="0" vertical="center" wrapText="1"/>
    </xf>
    <xf borderId="28" fillId="0" fontId="8" numFmtId="0" xfId="0" applyBorder="1" applyFont="1"/>
    <xf borderId="28" fillId="0" fontId="15" numFmtId="0" xfId="0" applyBorder="1" applyFont="1"/>
    <xf borderId="28" fillId="0" fontId="12" numFmtId="0" xfId="0" applyAlignment="1" applyBorder="1" applyFont="1">
      <alignment horizontal="center" vertical="top"/>
    </xf>
    <xf borderId="16" fillId="0" fontId="13" numFmtId="0" xfId="0" applyAlignment="1" applyBorder="1" applyFont="1">
      <alignment horizontal="center" vertical="top"/>
    </xf>
    <xf borderId="15" fillId="0" fontId="16" numFmtId="0" xfId="0" applyAlignment="1" applyBorder="1" applyFont="1">
      <alignment horizontal="center" shrinkToFit="0" vertical="center" wrapText="1"/>
    </xf>
    <xf borderId="28" fillId="0" fontId="16" numFmtId="0" xfId="0" applyAlignment="1" applyBorder="1" applyFont="1">
      <alignment horizontal="left" shrinkToFit="0" vertical="center" wrapText="1"/>
    </xf>
    <xf borderId="28" fillId="0" fontId="17" numFmtId="0" xfId="0" applyAlignment="1" applyBorder="1" applyFont="1">
      <alignment horizontal="center" shrinkToFit="0" wrapText="1"/>
    </xf>
    <xf borderId="28" fillId="0" fontId="18" numFmtId="0" xfId="0" applyAlignment="1" applyBorder="1" applyFont="1">
      <alignment horizontal="center"/>
    </xf>
    <xf borderId="28" fillId="0" fontId="17" numFmtId="0" xfId="0" applyAlignment="1" applyBorder="1" applyFont="1">
      <alignment horizontal="center" vertical="top"/>
    </xf>
    <xf borderId="16" fillId="0" fontId="18" numFmtId="0" xfId="0" applyAlignment="1" applyBorder="1" applyFont="1">
      <alignment horizontal="center" vertical="top"/>
    </xf>
    <xf borderId="15" fillId="0" fontId="17" numFmtId="0" xfId="0" applyAlignment="1" applyBorder="1" applyFont="1">
      <alignment horizontal="center" shrinkToFit="0" wrapText="1"/>
    </xf>
    <xf borderId="28" fillId="0" fontId="17" numFmtId="0" xfId="0" applyAlignment="1" applyBorder="1" applyFont="1">
      <alignment horizontal="center" vertical="center"/>
    </xf>
    <xf borderId="16" fillId="0" fontId="18" numFmtId="0" xfId="0" applyAlignment="1" applyBorder="1" applyFont="1">
      <alignment horizontal="center" vertical="center"/>
    </xf>
    <xf borderId="16" fillId="0" fontId="18" numFmtId="0" xfId="0" applyAlignment="1" applyBorder="1" applyFont="1">
      <alignment horizontal="center"/>
    </xf>
    <xf borderId="48" fillId="0" fontId="1" numFmtId="0" xfId="0" applyBorder="1" applyFont="1"/>
    <xf borderId="15" fillId="0" fontId="19" numFmtId="0" xfId="0" applyAlignment="1" applyBorder="1" applyFont="1">
      <alignment horizontal="center" shrinkToFit="0" wrapText="1"/>
    </xf>
    <xf borderId="28" fillId="0" fontId="17" numFmtId="0" xfId="0" applyAlignment="1" applyBorder="1" applyFont="1">
      <alignment horizontal="center"/>
    </xf>
    <xf borderId="6" fillId="0" fontId="15" numFmtId="0" xfId="0" applyBorder="1" applyFont="1"/>
    <xf borderId="15" fillId="0" fontId="18" numFmtId="0" xfId="0" applyAlignment="1" applyBorder="1" applyFont="1">
      <alignment horizontal="center" shrinkToFit="0" vertical="top" wrapText="1"/>
    </xf>
    <xf borderId="28" fillId="0" fontId="16" numFmtId="0" xfId="0" applyAlignment="1" applyBorder="1" applyFont="1">
      <alignment horizontal="left" shrinkToFit="0" vertical="top" wrapText="1"/>
    </xf>
    <xf borderId="15" fillId="0" fontId="18" numFmtId="0" xfId="0" applyAlignment="1" applyBorder="1" applyFont="1">
      <alignment horizontal="center" vertical="center"/>
    </xf>
    <xf borderId="15" fillId="0" fontId="19" numFmtId="0" xfId="0" applyAlignment="1" applyBorder="1" applyFont="1">
      <alignment horizontal="center" vertical="center"/>
    </xf>
    <xf borderId="15" fillId="0" fontId="18" numFmtId="0" xfId="0" applyAlignment="1" applyBorder="1" applyFont="1">
      <alignment horizontal="center"/>
    </xf>
    <xf borderId="28" fillId="0" fontId="17" numFmtId="0" xfId="0" applyAlignment="1" applyBorder="1" applyFont="1">
      <alignment horizontal="left" shrinkToFit="0" vertical="center" wrapText="1"/>
    </xf>
    <xf borderId="0" fillId="0" fontId="20" numFmtId="0" xfId="0" applyFont="1"/>
    <xf borderId="15" fillId="0" fontId="19" numFmtId="0" xfId="0" applyAlignment="1" applyBorder="1" applyFont="1">
      <alignment horizontal="center"/>
    </xf>
    <xf borderId="28" fillId="0" fontId="17" numFmtId="0" xfId="0" applyBorder="1" applyFont="1"/>
    <xf borderId="15" fillId="0" fontId="15" numFmtId="0" xfId="0" applyBorder="1" applyFont="1"/>
    <xf borderId="28" fillId="0" fontId="21" numFmtId="0" xfId="0" applyBorder="1" applyFont="1"/>
    <xf borderId="28" fillId="0" fontId="14" numFmtId="0" xfId="0" applyAlignment="1" applyBorder="1" applyFont="1">
      <alignment horizontal="right"/>
    </xf>
    <xf borderId="16" fillId="4" fontId="14" numFmtId="0" xfId="0" applyAlignment="1" applyBorder="1" applyFill="1" applyFont="1">
      <alignment horizontal="center"/>
    </xf>
    <xf borderId="28" fillId="0" fontId="13" numFmtId="0" xfId="0" applyAlignment="1" applyBorder="1" applyFont="1">
      <alignment horizontal="right"/>
    </xf>
    <xf borderId="16" fillId="0" fontId="13" numFmtId="0" xfId="0" applyAlignment="1" applyBorder="1" applyFont="1">
      <alignment horizontal="center"/>
    </xf>
    <xf borderId="28" fillId="0" fontId="14" numFmtId="0" xfId="0" applyBorder="1" applyFont="1"/>
    <xf borderId="47" fillId="0" fontId="12" numFmtId="0" xfId="0" applyBorder="1" applyFont="1"/>
    <xf borderId="49" fillId="0" fontId="12" numFmtId="0" xfId="0" applyBorder="1" applyFont="1"/>
    <xf borderId="50" fillId="0" fontId="12" numFmtId="0" xfId="0" applyAlignment="1" applyBorder="1" applyFont="1">
      <alignment horizontal="left"/>
    </xf>
    <xf borderId="50" fillId="0" fontId="8" numFmtId="0" xfId="0" applyBorder="1" applyFont="1"/>
    <xf borderId="33" fillId="0" fontId="8" numFmtId="0" xfId="0" applyAlignment="1" applyBorder="1" applyFont="1">
      <alignment horizontal="center"/>
    </xf>
    <xf borderId="51" fillId="0" fontId="12" numFmtId="0" xfId="0" applyAlignment="1" applyBorder="1" applyFont="1">
      <alignment readingOrder="0"/>
    </xf>
    <xf borderId="3" fillId="0" fontId="12" numFmtId="0" xfId="0" applyAlignment="1" applyBorder="1" applyFont="1">
      <alignment horizontal="center" readingOrder="0"/>
    </xf>
    <xf borderId="52" fillId="0" fontId="3" numFmtId="0" xfId="0" applyBorder="1" applyFont="1"/>
    <xf borderId="4" fillId="0" fontId="12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center" readingOrder="0"/>
    </xf>
    <xf borderId="53" fillId="0" fontId="12" numFmtId="0" xfId="0" applyAlignment="1" applyBorder="1" applyFont="1">
      <alignment readingOrder="0"/>
    </xf>
    <xf borderId="17" fillId="0" fontId="17" numFmtId="0" xfId="0" applyAlignment="1" applyBorder="1" applyFont="1">
      <alignment horizontal="center" shrinkToFit="0" wrapText="1"/>
    </xf>
    <xf borderId="54" fillId="0" fontId="8" numFmtId="9" xfId="0" applyAlignment="1" applyBorder="1" applyFont="1" applyNumberFormat="1">
      <alignment readingOrder="0"/>
    </xf>
    <xf borderId="10" fillId="0" fontId="8" numFmtId="0" xfId="0" applyBorder="1" applyFont="1"/>
    <xf borderId="55" fillId="0" fontId="3" numFmtId="0" xfId="0" applyBorder="1" applyFont="1"/>
    <xf borderId="54" fillId="0" fontId="8" numFmtId="0" xfId="0" applyBorder="1" applyFont="1"/>
    <xf borderId="39" fillId="0" fontId="8" numFmtId="0" xfId="0" applyAlignment="1" applyBorder="1" applyFont="1">
      <alignment horizontal="center"/>
    </xf>
    <xf borderId="53" fillId="0" fontId="8" numFmtId="9" xfId="0" applyAlignment="1" applyBorder="1" applyFont="1" applyNumberFormat="1">
      <alignment readingOrder="0"/>
    </xf>
    <xf borderId="17" fillId="0" fontId="8" numFmtId="0" xfId="0" applyBorder="1" applyFont="1"/>
    <xf borderId="53" fillId="0" fontId="8" numFmtId="0" xfId="0" applyBorder="1" applyFont="1"/>
    <xf borderId="17" fillId="0" fontId="17" numFmtId="0" xfId="0" applyAlignment="1" applyBorder="1" applyFont="1">
      <alignment horizontal="center"/>
    </xf>
    <xf borderId="56" fillId="0" fontId="12" numFmtId="0" xfId="0" applyAlignment="1" applyBorder="1" applyFont="1">
      <alignment readingOrder="0"/>
    </xf>
    <xf borderId="35" fillId="0" fontId="17" numFmtId="0" xfId="0" applyAlignment="1" applyBorder="1" applyFont="1">
      <alignment horizontal="center" shrinkToFit="0" wrapText="1"/>
    </xf>
    <xf borderId="45" fillId="0" fontId="3" numFmtId="0" xfId="0" applyBorder="1" applyFont="1"/>
    <xf borderId="7" fillId="0" fontId="8" numFmtId="9" xfId="0" applyAlignment="1" applyBorder="1" applyFont="1" applyNumberFormat="1">
      <alignment readingOrder="0"/>
    </xf>
    <xf borderId="35" fillId="0" fontId="8" numFmtId="0" xfId="0" applyBorder="1" applyFont="1"/>
    <xf borderId="7" fillId="0" fontId="8" numFmtId="0" xfId="0" applyBorder="1" applyFont="1"/>
    <xf borderId="31" fillId="0" fontId="8" numFmtId="0" xfId="0" applyAlignment="1" applyBorder="1" applyFont="1">
      <alignment horizontal="center"/>
    </xf>
    <xf borderId="3" fillId="0" fontId="12" numFmtId="0" xfId="0" applyAlignment="1" applyBorder="1" applyFont="1">
      <alignment readingOrder="0"/>
    </xf>
    <xf borderId="3" fillId="0" fontId="22" numFmtId="0" xfId="0" applyAlignment="1" applyBorder="1" applyFont="1">
      <alignment horizontal="center" readingOrder="0"/>
    </xf>
    <xf borderId="4" fillId="0" fontId="8" numFmtId="9" xfId="0" applyAlignment="1" applyBorder="1" applyFont="1" applyNumberFormat="1">
      <alignment readingOrder="0"/>
    </xf>
    <xf borderId="3" fillId="0" fontId="12" numFmtId="0" xfId="0" applyBorder="1" applyFont="1"/>
    <xf borderId="4" fillId="0" fontId="12" numFmtId="0" xfId="0" applyBorder="1" applyFont="1"/>
    <xf borderId="51" fillId="0" fontId="12" numFmtId="0" xfId="0" applyAlignment="1" applyBorder="1" applyFont="1">
      <alignment horizontal="center"/>
    </xf>
    <xf borderId="57" fillId="0" fontId="12" numFmtId="0" xfId="0" applyAlignment="1" applyBorder="1" applyFont="1">
      <alignment horizontal="center"/>
    </xf>
    <xf borderId="58" fillId="0" fontId="8" numFmtId="0" xfId="0" applyBorder="1" applyFont="1"/>
    <xf borderId="29" fillId="0" fontId="8" numFmtId="0" xfId="0" applyBorder="1" applyFont="1"/>
    <xf borderId="38" fillId="0" fontId="23" numFmtId="0" xfId="0" applyAlignment="1" applyBorder="1" applyFont="1">
      <alignment horizontal="center"/>
    </xf>
    <xf borderId="6" fillId="0" fontId="9" numFmtId="0" xfId="0" applyBorder="1" applyFont="1"/>
    <xf borderId="29" fillId="0" fontId="3" numFmtId="0" xfId="0" applyBorder="1" applyFont="1"/>
    <xf borderId="19" fillId="5" fontId="9" numFmtId="0" xfId="0" applyAlignment="1" applyBorder="1" applyFill="1" applyFont="1">
      <alignment horizontal="center"/>
    </xf>
    <xf borderId="34" fillId="0" fontId="9" numFmtId="0" xfId="0" applyBorder="1" applyFont="1"/>
    <xf borderId="6" fillId="0" fontId="9" numFmtId="0" xfId="0" applyAlignment="1" applyBorder="1" applyFont="1">
      <alignment horizontal="center" vertical="top"/>
    </xf>
    <xf borderId="47" fillId="0" fontId="9" numFmtId="0" xfId="0" applyAlignment="1" applyBorder="1" applyFont="1">
      <alignment horizontal="center" vertical="top"/>
    </xf>
    <xf borderId="48" fillId="0" fontId="3" numFmtId="0" xfId="0" applyBorder="1" applyFont="1"/>
    <xf borderId="59" fillId="0" fontId="9" numFmtId="0" xfId="0" applyAlignment="1" applyBorder="1" applyFont="1">
      <alignment horizontal="center" vertical="top"/>
    </xf>
    <xf borderId="60" fillId="0" fontId="3" numFmtId="0" xfId="0" applyBorder="1" applyFont="1"/>
    <xf borderId="61" fillId="0" fontId="3" numFmtId="0" xfId="0" applyBorder="1" applyFont="1"/>
    <xf borderId="25" fillId="0" fontId="9" numFmtId="0" xfId="0" applyAlignment="1" applyBorder="1" applyFont="1">
      <alignment horizontal="center" vertical="top"/>
    </xf>
    <xf borderId="40" fillId="0" fontId="9" numFmtId="0" xfId="0" applyAlignment="1" applyBorder="1" applyFont="1">
      <alignment horizontal="center" vertical="top"/>
    </xf>
    <xf borderId="40" fillId="5" fontId="9" numFmtId="0" xfId="0" applyAlignment="1" applyBorder="1" applyFont="1">
      <alignment horizontal="center"/>
    </xf>
    <xf borderId="0" fillId="0" fontId="2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590550" cy="514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17.88"/>
    <col customWidth="1" min="3" max="3" width="59.0"/>
    <col customWidth="1" min="4" max="6" width="12.63"/>
    <col customWidth="1" min="8" max="8" width="33.63"/>
  </cols>
  <sheetData>
    <row r="1" ht="40.5" customHeight="1">
      <c r="A1" s="1"/>
      <c r="B1" s="2"/>
      <c r="C1" s="3" t="s">
        <v>0</v>
      </c>
      <c r="D1" s="4"/>
      <c r="E1" s="4"/>
      <c r="F1" s="4"/>
      <c r="G1" s="4"/>
      <c r="H1" s="5"/>
    </row>
    <row r="2" ht="68.25" customHeight="1">
      <c r="A2" s="6"/>
      <c r="B2" s="7"/>
      <c r="C2" s="8" t="s">
        <v>1</v>
      </c>
      <c r="D2" s="4"/>
      <c r="E2" s="4"/>
      <c r="F2" s="4"/>
      <c r="G2" s="4"/>
      <c r="H2" s="5"/>
    </row>
    <row r="3" ht="16.5" customHeight="1">
      <c r="A3" s="9"/>
      <c r="B3" s="10" t="s">
        <v>2</v>
      </c>
      <c r="C3" s="4"/>
      <c r="D3" s="4"/>
      <c r="E3" s="4"/>
      <c r="F3" s="4"/>
      <c r="G3" s="4"/>
      <c r="H3" s="5"/>
    </row>
    <row r="4" ht="15.75" customHeight="1">
      <c r="A4" s="11"/>
      <c r="B4" s="12" t="s">
        <v>3</v>
      </c>
      <c r="C4" s="13" t="s">
        <v>4</v>
      </c>
      <c r="D4" s="14"/>
      <c r="E4" s="15" t="s">
        <v>5</v>
      </c>
      <c r="F4" s="16"/>
      <c r="G4" s="17" t="s">
        <v>6</v>
      </c>
      <c r="H4" s="18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5.75" customHeight="1">
      <c r="A5" s="11"/>
      <c r="B5" s="20" t="s">
        <v>7</v>
      </c>
      <c r="C5" s="21" t="s">
        <v>8</v>
      </c>
      <c r="D5" s="22"/>
      <c r="E5" s="11" t="s">
        <v>9</v>
      </c>
      <c r="F5" s="23"/>
      <c r="G5" s="24" t="s">
        <v>10</v>
      </c>
      <c r="H5" s="25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15.75" customHeight="1">
      <c r="A6" s="26"/>
      <c r="B6" s="26" t="s">
        <v>11</v>
      </c>
      <c r="C6" s="25"/>
      <c r="D6" s="22"/>
      <c r="E6" s="11" t="s">
        <v>12</v>
      </c>
      <c r="F6" s="23"/>
      <c r="G6" s="27" t="s">
        <v>6</v>
      </c>
      <c r="H6" s="25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15.75" customHeight="1">
      <c r="A7" s="11"/>
      <c r="B7" s="28" t="s">
        <v>13</v>
      </c>
      <c r="C7" s="29">
        <v>46107.0</v>
      </c>
      <c r="D7" s="22"/>
      <c r="E7" s="30" t="s">
        <v>14</v>
      </c>
      <c r="F7" s="31"/>
      <c r="G7" s="32" t="s">
        <v>15</v>
      </c>
      <c r="H7" s="33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ht="15.75" customHeight="1">
      <c r="A8" s="11"/>
      <c r="B8" s="34"/>
      <c r="C8" s="35"/>
      <c r="D8" s="36"/>
      <c r="E8" s="37"/>
      <c r="F8" s="38"/>
      <c r="G8" s="37"/>
      <c r="H8" s="3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15.75" customHeight="1">
      <c r="A9" s="26"/>
      <c r="B9" s="40" t="s">
        <v>16</v>
      </c>
      <c r="C9" s="18"/>
      <c r="D9" s="22"/>
      <c r="E9" s="40" t="s">
        <v>17</v>
      </c>
      <c r="F9" s="41"/>
      <c r="G9" s="41"/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15.75" customHeight="1">
      <c r="A10" s="11"/>
      <c r="B10" s="20" t="s">
        <v>18</v>
      </c>
      <c r="C10" s="42" t="s">
        <v>19</v>
      </c>
      <c r="D10" s="22"/>
      <c r="E10" s="20" t="s">
        <v>18</v>
      </c>
      <c r="F10" s="43" t="s">
        <v>20</v>
      </c>
      <c r="G10" s="44"/>
      <c r="H10" s="25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15.75" customHeight="1">
      <c r="A11" s="11"/>
      <c r="B11" s="20" t="s">
        <v>21</v>
      </c>
      <c r="C11" s="45" t="s">
        <v>22</v>
      </c>
      <c r="D11" s="22"/>
      <c r="E11" s="20" t="s">
        <v>21</v>
      </c>
      <c r="F11" s="46" t="s">
        <v>23</v>
      </c>
      <c r="G11" s="47"/>
      <c r="H11" s="48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ht="33.75" customHeight="1">
      <c r="A12" s="11"/>
      <c r="B12" s="20"/>
      <c r="C12" s="49"/>
      <c r="D12" s="22"/>
      <c r="E12" s="20"/>
      <c r="F12" s="50"/>
      <c r="G12" s="51"/>
      <c r="H12" s="52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ht="15.75" customHeight="1">
      <c r="A13" s="11"/>
      <c r="B13" s="20" t="s">
        <v>24</v>
      </c>
      <c r="C13" s="53" t="s">
        <v>25</v>
      </c>
      <c r="D13" s="22"/>
      <c r="E13" s="20" t="s">
        <v>24</v>
      </c>
      <c r="F13" s="54" t="s">
        <v>25</v>
      </c>
      <c r="G13" s="44"/>
      <c r="H13" s="25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15.75" customHeight="1">
      <c r="A14" s="11"/>
      <c r="B14" s="20" t="s">
        <v>26</v>
      </c>
      <c r="C14" s="55">
        <v>19.0</v>
      </c>
      <c r="D14" s="22"/>
      <c r="E14" s="20" t="s">
        <v>26</v>
      </c>
      <c r="F14" s="56">
        <v>19.0</v>
      </c>
      <c r="G14" s="44"/>
      <c r="H14" s="25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15.75" customHeight="1">
      <c r="A15" s="11"/>
      <c r="B15" s="28" t="s">
        <v>27</v>
      </c>
      <c r="C15" s="57" t="s">
        <v>28</v>
      </c>
      <c r="D15" s="22"/>
      <c r="E15" s="28" t="s">
        <v>27</v>
      </c>
      <c r="F15" s="58" t="s">
        <v>28</v>
      </c>
      <c r="G15" s="59"/>
      <c r="H15" s="60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15.75" customHeight="1">
      <c r="A16" s="11"/>
      <c r="B16" s="61" t="s">
        <v>29</v>
      </c>
      <c r="C16" s="62"/>
      <c r="D16" s="63"/>
      <c r="E16" s="35"/>
      <c r="F16" s="35"/>
      <c r="G16" s="35"/>
      <c r="H16" s="64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15.75" customHeight="1">
      <c r="A17" s="65"/>
      <c r="B17" s="20"/>
      <c r="C17" s="36"/>
      <c r="D17" s="36"/>
      <c r="E17" s="36"/>
      <c r="F17" s="36"/>
      <c r="G17" s="36"/>
      <c r="H17" s="66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>
      <c r="A18" s="67" t="s">
        <v>30</v>
      </c>
      <c r="B18" s="68" t="s">
        <v>31</v>
      </c>
      <c r="C18" s="69" t="s">
        <v>32</v>
      </c>
      <c r="D18" s="70" t="s">
        <v>33</v>
      </c>
      <c r="E18" s="71" t="s">
        <v>34</v>
      </c>
      <c r="F18" s="71" t="s">
        <v>35</v>
      </c>
      <c r="G18" s="71" t="s">
        <v>36</v>
      </c>
      <c r="H18" s="72" t="s">
        <v>37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>
      <c r="A19" s="73"/>
      <c r="B19" s="74" t="s">
        <v>38</v>
      </c>
      <c r="C19" s="75"/>
      <c r="D19" s="76"/>
      <c r="E19" s="76"/>
      <c r="F19" s="71"/>
      <c r="G19" s="77"/>
      <c r="H19" s="78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>
      <c r="A20" s="6"/>
      <c r="B20" s="79">
        <v>1.0</v>
      </c>
      <c r="C20" s="80" t="s">
        <v>39</v>
      </c>
      <c r="D20" s="81">
        <v>995456.0</v>
      </c>
      <c r="E20" s="82" t="s">
        <v>40</v>
      </c>
      <c r="F20" s="82">
        <v>120.0</v>
      </c>
      <c r="G20" s="83">
        <v>102.4</v>
      </c>
      <c r="H20" s="84">
        <f>G20*F20</f>
        <v>12288</v>
      </c>
    </row>
    <row r="21" ht="15.75" customHeight="1">
      <c r="A21" s="6"/>
      <c r="B21" s="85">
        <v>2.0</v>
      </c>
      <c r="C21" s="80" t="s">
        <v>41</v>
      </c>
      <c r="D21" s="81">
        <v>995472.0</v>
      </c>
      <c r="E21" s="82" t="s">
        <v>40</v>
      </c>
      <c r="F21" s="82">
        <v>40.0</v>
      </c>
      <c r="G21" s="86">
        <v>204.8</v>
      </c>
      <c r="H21" s="87">
        <f>F21*G21</f>
        <v>8192</v>
      </c>
    </row>
    <row r="22" ht="15.75" customHeight="1">
      <c r="A22" s="6"/>
      <c r="B22" s="85">
        <v>3.0</v>
      </c>
      <c r="C22" s="80" t="s">
        <v>42</v>
      </c>
      <c r="D22" s="81">
        <v>995456.0</v>
      </c>
      <c r="E22" s="82" t="s">
        <v>40</v>
      </c>
      <c r="F22" s="82">
        <v>150.0</v>
      </c>
      <c r="G22" s="82">
        <v>32.0</v>
      </c>
      <c r="H22" s="88">
        <f t="shared" ref="H22:H28" si="1">G22*F22</f>
        <v>4800</v>
      </c>
    </row>
    <row r="23" ht="15.75" customHeight="1">
      <c r="A23" s="89"/>
      <c r="B23" s="85">
        <v>4.0</v>
      </c>
      <c r="C23" s="80" t="s">
        <v>43</v>
      </c>
      <c r="D23" s="81">
        <v>995474.0</v>
      </c>
      <c r="E23" s="82" t="s">
        <v>40</v>
      </c>
      <c r="F23" s="82">
        <v>140.0</v>
      </c>
      <c r="G23" s="82">
        <v>32.0</v>
      </c>
      <c r="H23" s="88">
        <f t="shared" si="1"/>
        <v>4480</v>
      </c>
    </row>
    <row r="24" ht="15.75" customHeight="1">
      <c r="A24" s="89"/>
      <c r="B24" s="90">
        <v>5.0</v>
      </c>
      <c r="C24" s="80" t="s">
        <v>44</v>
      </c>
      <c r="D24" s="81">
        <v>995474.0</v>
      </c>
      <c r="E24" s="91" t="s">
        <v>40</v>
      </c>
      <c r="F24" s="91">
        <v>140.0</v>
      </c>
      <c r="G24" s="91">
        <v>151.11</v>
      </c>
      <c r="H24" s="88">
        <f t="shared" si="1"/>
        <v>21155.4</v>
      </c>
    </row>
    <row r="25" ht="15.75" customHeight="1">
      <c r="A25" s="89"/>
      <c r="B25" s="90">
        <v>6.0</v>
      </c>
      <c r="C25" s="80" t="s">
        <v>45</v>
      </c>
      <c r="D25" s="81">
        <v>995473.0</v>
      </c>
      <c r="E25" s="91" t="s">
        <v>40</v>
      </c>
      <c r="F25" s="91">
        <v>30.0</v>
      </c>
      <c r="G25" s="91">
        <v>140.4</v>
      </c>
      <c r="H25" s="88">
        <f t="shared" si="1"/>
        <v>4212</v>
      </c>
    </row>
    <row r="26" ht="15.75" customHeight="1">
      <c r="A26" s="92"/>
      <c r="B26" s="90">
        <v>7.0</v>
      </c>
      <c r="C26" s="80" t="s">
        <v>46</v>
      </c>
      <c r="D26" s="81">
        <v>995453.0</v>
      </c>
      <c r="E26" s="91" t="s">
        <v>40</v>
      </c>
      <c r="F26" s="91">
        <v>85.0</v>
      </c>
      <c r="G26" s="91">
        <v>32.0</v>
      </c>
      <c r="H26" s="88">
        <f t="shared" si="1"/>
        <v>2720</v>
      </c>
    </row>
    <row r="27" ht="15.75" customHeight="1">
      <c r="A27" s="92"/>
      <c r="B27" s="90">
        <v>8.0</v>
      </c>
      <c r="C27" s="80" t="s">
        <v>47</v>
      </c>
      <c r="D27" s="91">
        <v>995479.0</v>
      </c>
      <c r="E27" s="91" t="s">
        <v>40</v>
      </c>
      <c r="F27" s="91">
        <v>30.0</v>
      </c>
      <c r="G27" s="86">
        <v>32.0</v>
      </c>
      <c r="H27" s="88">
        <f t="shared" si="1"/>
        <v>960</v>
      </c>
    </row>
    <row r="28" ht="19.5" customHeight="1">
      <c r="A28" s="92"/>
      <c r="B28" s="93">
        <v>9.0</v>
      </c>
      <c r="C28" s="94" t="s">
        <v>48</v>
      </c>
      <c r="D28" s="81">
        <v>995456.0</v>
      </c>
      <c r="E28" s="91" t="s">
        <v>40</v>
      </c>
      <c r="F28" s="91">
        <v>30.0</v>
      </c>
      <c r="G28" s="86">
        <v>74.3</v>
      </c>
      <c r="H28" s="88">
        <f t="shared" si="1"/>
        <v>2229</v>
      </c>
    </row>
    <row r="29" ht="19.5" customHeight="1">
      <c r="A29" s="92"/>
      <c r="B29" s="95">
        <v>10.0</v>
      </c>
      <c r="C29" s="80" t="s">
        <v>49</v>
      </c>
      <c r="D29" s="81">
        <v>9954.0</v>
      </c>
      <c r="E29" s="82" t="s">
        <v>50</v>
      </c>
      <c r="F29" s="91">
        <v>8500.0</v>
      </c>
      <c r="G29" s="91">
        <v>1.0</v>
      </c>
      <c r="H29" s="88">
        <f>F29*G29</f>
        <v>8500</v>
      </c>
    </row>
    <row r="30" ht="30.0" customHeight="1">
      <c r="A30" s="92"/>
      <c r="B30" s="96" t="s">
        <v>51</v>
      </c>
      <c r="C30" s="80"/>
      <c r="D30" s="81"/>
      <c r="E30" s="82"/>
      <c r="F30" s="91"/>
      <c r="G30" s="86"/>
      <c r="H30" s="88"/>
    </row>
    <row r="31" ht="30.0" customHeight="1">
      <c r="A31" s="92"/>
      <c r="B31" s="96">
        <v>11.0</v>
      </c>
      <c r="C31" s="80" t="s">
        <v>52</v>
      </c>
      <c r="D31" s="81">
        <v>995462.0</v>
      </c>
      <c r="E31" s="82" t="s">
        <v>50</v>
      </c>
      <c r="F31" s="91">
        <v>13500.0</v>
      </c>
      <c r="G31" s="86">
        <v>1.0</v>
      </c>
      <c r="H31" s="88">
        <f>F31*G31</f>
        <v>13500</v>
      </c>
    </row>
    <row r="32" ht="30.0" customHeight="1">
      <c r="A32" s="92"/>
      <c r="B32" s="97">
        <v>12.0</v>
      </c>
      <c r="C32" s="98" t="s">
        <v>53</v>
      </c>
      <c r="D32" s="81">
        <v>995462.0</v>
      </c>
      <c r="E32" s="91" t="s">
        <v>50</v>
      </c>
      <c r="F32" s="91">
        <v>21500.0</v>
      </c>
      <c r="G32" s="91">
        <v>1.0</v>
      </c>
      <c r="H32" s="88">
        <f>G32*F32</f>
        <v>21500</v>
      </c>
    </row>
    <row r="33" ht="30.0" customHeight="1">
      <c r="A33" s="92"/>
      <c r="B33" s="97">
        <v>13.0</v>
      </c>
      <c r="C33" s="98" t="s">
        <v>54</v>
      </c>
      <c r="D33" s="81">
        <v>995462.0</v>
      </c>
      <c r="E33" s="91" t="s">
        <v>55</v>
      </c>
      <c r="F33" s="91">
        <v>6500.0</v>
      </c>
      <c r="G33" s="91">
        <v>1.0</v>
      </c>
      <c r="H33" s="88">
        <f t="shared" ref="H33:H34" si="2">F33*G33</f>
        <v>6500</v>
      </c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30.0" customHeight="1">
      <c r="A34" s="92"/>
      <c r="B34" s="97">
        <v>14.0</v>
      </c>
      <c r="C34" s="98" t="s">
        <v>56</v>
      </c>
      <c r="D34" s="81">
        <v>995462.0</v>
      </c>
      <c r="E34" s="91" t="s">
        <v>55</v>
      </c>
      <c r="F34" s="91">
        <v>5500.0</v>
      </c>
      <c r="G34" s="91">
        <v>1.0</v>
      </c>
      <c r="H34" s="88">
        <f t="shared" si="2"/>
        <v>5500</v>
      </c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30.0" customHeight="1">
      <c r="A35" s="92"/>
      <c r="B35" s="100" t="s">
        <v>57</v>
      </c>
      <c r="C35" s="98"/>
      <c r="D35" s="81"/>
      <c r="E35" s="91"/>
      <c r="F35" s="91"/>
      <c r="G35" s="91"/>
      <c r="H35" s="88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30.0" customHeight="1">
      <c r="A36" s="92"/>
      <c r="B36" s="97">
        <v>15.0</v>
      </c>
      <c r="C36" s="98" t="s">
        <v>58</v>
      </c>
      <c r="D36" s="81">
        <v>850440.0</v>
      </c>
      <c r="E36" s="91" t="s">
        <v>50</v>
      </c>
      <c r="F36" s="91">
        <v>1800.0</v>
      </c>
      <c r="G36" s="91">
        <v>1.0</v>
      </c>
      <c r="H36" s="88">
        <f>G36*F36</f>
        <v>1800</v>
      </c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30.0" customHeight="1">
      <c r="A37" s="92"/>
      <c r="B37" s="97">
        <v>16.0</v>
      </c>
      <c r="C37" s="80" t="s">
        <v>59</v>
      </c>
      <c r="D37" s="81">
        <v>850440.0</v>
      </c>
      <c r="E37" s="91" t="s">
        <v>50</v>
      </c>
      <c r="F37" s="91">
        <v>650.0</v>
      </c>
      <c r="G37" s="91">
        <v>1.0</v>
      </c>
      <c r="H37" s="88">
        <f>F37*G37</f>
        <v>650</v>
      </c>
    </row>
    <row r="38" ht="30.0" customHeight="1">
      <c r="A38" s="92"/>
      <c r="B38" s="100" t="s">
        <v>60</v>
      </c>
      <c r="C38" s="80"/>
      <c r="D38" s="81"/>
      <c r="E38" s="91"/>
      <c r="F38" s="91"/>
      <c r="G38" s="91"/>
      <c r="H38" s="88"/>
    </row>
    <row r="39" ht="30.0" customHeight="1">
      <c r="A39" s="92"/>
      <c r="B39" s="100">
        <v>17.0</v>
      </c>
      <c r="C39" s="80" t="s">
        <v>61</v>
      </c>
      <c r="D39" s="81">
        <v>940310.0</v>
      </c>
      <c r="E39" s="91" t="s">
        <v>62</v>
      </c>
      <c r="F39" s="91">
        <v>350.0</v>
      </c>
      <c r="G39" s="91">
        <v>3.0</v>
      </c>
      <c r="H39" s="88">
        <f>G39*F39</f>
        <v>1050</v>
      </c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30.0" customHeight="1">
      <c r="A40" s="92"/>
      <c r="B40" s="100" t="s">
        <v>63</v>
      </c>
      <c r="C40" s="80"/>
      <c r="D40" s="81"/>
      <c r="E40" s="91"/>
      <c r="F40" s="91"/>
      <c r="G40" s="91"/>
      <c r="H40" s="88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30.0" customHeight="1">
      <c r="A41" s="92"/>
      <c r="B41" s="100">
        <v>18.0</v>
      </c>
      <c r="C41" s="80" t="s">
        <v>64</v>
      </c>
      <c r="D41" s="81">
        <v>995474.0</v>
      </c>
      <c r="E41" s="91" t="s">
        <v>65</v>
      </c>
      <c r="F41" s="91">
        <v>60.0</v>
      </c>
      <c r="G41" s="91">
        <v>12.0</v>
      </c>
      <c r="H41" s="88">
        <f t="shared" ref="H41:H45" si="3">G41*F41</f>
        <v>720</v>
      </c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30.0" customHeight="1">
      <c r="A42" s="92"/>
      <c r="B42" s="100">
        <v>19.0</v>
      </c>
      <c r="C42" s="80" t="s">
        <v>66</v>
      </c>
      <c r="D42" s="81">
        <v>2201.0</v>
      </c>
      <c r="E42" s="91" t="s">
        <v>67</v>
      </c>
      <c r="F42" s="91">
        <v>17.0</v>
      </c>
      <c r="G42" s="91">
        <v>300.0</v>
      </c>
      <c r="H42" s="88">
        <f t="shared" si="3"/>
        <v>5100</v>
      </c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30.0" customHeight="1">
      <c r="A43" s="92"/>
      <c r="B43" s="100">
        <v>20.0</v>
      </c>
      <c r="C43" s="101" t="s">
        <v>68</v>
      </c>
      <c r="D43" s="81">
        <v>995462.0</v>
      </c>
      <c r="E43" s="91" t="s">
        <v>50</v>
      </c>
      <c r="F43" s="91">
        <v>800.0</v>
      </c>
      <c r="G43" s="91">
        <v>1.0</v>
      </c>
      <c r="H43" s="88">
        <f t="shared" si="3"/>
        <v>800</v>
      </c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30.0" customHeight="1">
      <c r="A44" s="92"/>
      <c r="B44" s="100">
        <v>21.0</v>
      </c>
      <c r="C44" s="101" t="s">
        <v>69</v>
      </c>
      <c r="D44" s="81">
        <v>995462.0</v>
      </c>
      <c r="E44" s="91" t="s">
        <v>50</v>
      </c>
      <c r="F44" s="91">
        <v>450.0</v>
      </c>
      <c r="G44" s="91">
        <v>1.0</v>
      </c>
      <c r="H44" s="88">
        <f t="shared" si="3"/>
        <v>450</v>
      </c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30.0" customHeight="1">
      <c r="A45" s="92"/>
      <c r="B45" s="100">
        <v>22.0</v>
      </c>
      <c r="C45" s="101" t="s">
        <v>70</v>
      </c>
      <c r="D45" s="81">
        <v>995462.0</v>
      </c>
      <c r="E45" s="91" t="s">
        <v>71</v>
      </c>
      <c r="F45" s="91">
        <v>1500.0</v>
      </c>
      <c r="G45" s="91">
        <v>1.0</v>
      </c>
      <c r="H45" s="88">
        <f t="shared" si="3"/>
        <v>1500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21.0" customHeight="1">
      <c r="A46" s="92"/>
      <c r="B46" s="102"/>
      <c r="C46" s="76"/>
      <c r="D46" s="76"/>
      <c r="E46" s="76"/>
      <c r="F46" s="103"/>
      <c r="G46" s="104" t="s">
        <v>72</v>
      </c>
      <c r="H46" s="105">
        <f>SUM(H19:H45)</f>
        <v>128606.4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ht="21.0" customHeight="1">
      <c r="A47" s="92"/>
      <c r="B47" s="102"/>
      <c r="C47" s="76"/>
      <c r="D47" s="76"/>
      <c r="E47" s="76"/>
      <c r="F47" s="106"/>
      <c r="G47" s="106" t="s">
        <v>73</v>
      </c>
      <c r="H47" s="107">
        <f>H46*18%</f>
        <v>23149.152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ht="21.0" customHeight="1">
      <c r="A48" s="92"/>
      <c r="B48" s="102"/>
      <c r="C48" s="76"/>
      <c r="D48" s="76"/>
      <c r="E48" s="76"/>
      <c r="F48" s="108" t="s">
        <v>72</v>
      </c>
      <c r="G48" s="103"/>
      <c r="H48" s="105">
        <f>H47+H46</f>
        <v>151755.552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ht="30.75" customHeight="1">
      <c r="A49" s="109"/>
      <c r="B49" s="110"/>
      <c r="C49" s="111" t="s">
        <v>74</v>
      </c>
      <c r="D49" s="112"/>
      <c r="E49" s="112"/>
      <c r="F49" s="112"/>
      <c r="G49" s="112"/>
      <c r="H49" s="113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ht="30.75" customHeight="1">
      <c r="A50" s="114" t="s">
        <v>75</v>
      </c>
      <c r="B50" s="115" t="s">
        <v>76</v>
      </c>
      <c r="C50" s="116"/>
      <c r="D50" s="114" t="s">
        <v>77</v>
      </c>
      <c r="E50" s="117" t="s">
        <v>78</v>
      </c>
      <c r="F50" s="116"/>
      <c r="G50" s="114" t="s">
        <v>79</v>
      </c>
      <c r="H50" s="118" t="s">
        <v>80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ht="30.75" customHeight="1">
      <c r="A51" s="119">
        <v>1.0</v>
      </c>
      <c r="B51" s="120">
        <v>995456.0</v>
      </c>
      <c r="C51" s="23"/>
      <c r="D51" s="121">
        <v>0.18</v>
      </c>
      <c r="E51" s="122">
        <f>SUM(H20,H22,H28,)</f>
        <v>19317</v>
      </c>
      <c r="F51" s="123"/>
      <c r="G51" s="124">
        <f t="shared" ref="G51:G61" si="4">18/100*E51</f>
        <v>3477.06</v>
      </c>
      <c r="H51" s="125">
        <f t="shared" ref="H51:H61" si="5">G51</f>
        <v>3477.06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ht="30.75" customHeight="1">
      <c r="A52" s="119">
        <v>2.0</v>
      </c>
      <c r="B52" s="120">
        <v>995472.0</v>
      </c>
      <c r="C52" s="23"/>
      <c r="D52" s="126">
        <v>0.18</v>
      </c>
      <c r="E52" s="127">
        <f>SUM(H21,)</f>
        <v>8192</v>
      </c>
      <c r="F52" s="23"/>
      <c r="G52" s="128">
        <f t="shared" si="4"/>
        <v>1474.56</v>
      </c>
      <c r="H52" s="125">
        <f t="shared" si="5"/>
        <v>1474.56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ht="30.75" customHeight="1">
      <c r="A53" s="119">
        <v>3.0</v>
      </c>
      <c r="B53" s="120">
        <v>995474.0</v>
      </c>
      <c r="C53" s="23"/>
      <c r="D53" s="126">
        <v>0.18</v>
      </c>
      <c r="E53" s="127">
        <f>SUM(H23:H24,H41)</f>
        <v>26355.4</v>
      </c>
      <c r="F53" s="23"/>
      <c r="G53" s="128">
        <f t="shared" si="4"/>
        <v>4743.972</v>
      </c>
      <c r="H53" s="125">
        <f t="shared" si="5"/>
        <v>4743.972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ht="30.75" customHeight="1">
      <c r="A54" s="119">
        <v>4.0</v>
      </c>
      <c r="B54" s="120">
        <v>995473.0</v>
      </c>
      <c r="C54" s="23"/>
      <c r="D54" s="126">
        <v>0.18</v>
      </c>
      <c r="E54" s="127">
        <f t="shared" ref="E54:E56" si="6">SUM(H25,)</f>
        <v>4212</v>
      </c>
      <c r="F54" s="23"/>
      <c r="G54" s="128">
        <f t="shared" si="4"/>
        <v>758.16</v>
      </c>
      <c r="H54" s="125">
        <f t="shared" si="5"/>
        <v>758.16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ht="30.75" customHeight="1">
      <c r="A55" s="119">
        <v>5.0</v>
      </c>
      <c r="B55" s="120">
        <v>995453.0</v>
      </c>
      <c r="C55" s="23"/>
      <c r="D55" s="126">
        <v>0.18</v>
      </c>
      <c r="E55" s="127">
        <f t="shared" si="6"/>
        <v>2720</v>
      </c>
      <c r="F55" s="23"/>
      <c r="G55" s="128">
        <f t="shared" si="4"/>
        <v>489.6</v>
      </c>
      <c r="H55" s="125">
        <f t="shared" si="5"/>
        <v>489.6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ht="30.75" customHeight="1">
      <c r="A56" s="119">
        <v>6.0</v>
      </c>
      <c r="B56" s="129">
        <v>995479.0</v>
      </c>
      <c r="C56" s="23"/>
      <c r="D56" s="126">
        <v>0.18</v>
      </c>
      <c r="E56" s="127">
        <f t="shared" si="6"/>
        <v>960</v>
      </c>
      <c r="F56" s="23"/>
      <c r="G56" s="128">
        <f t="shared" si="4"/>
        <v>172.8</v>
      </c>
      <c r="H56" s="125">
        <f t="shared" si="5"/>
        <v>172.8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ht="30.75" customHeight="1">
      <c r="A57" s="119">
        <v>7.0</v>
      </c>
      <c r="B57" s="120">
        <v>9954.0</v>
      </c>
      <c r="C57" s="23"/>
      <c r="D57" s="126">
        <v>0.18</v>
      </c>
      <c r="E57" s="127">
        <f>SUM(H29,)</f>
        <v>8500</v>
      </c>
      <c r="F57" s="23"/>
      <c r="G57" s="128">
        <f t="shared" si="4"/>
        <v>1530</v>
      </c>
      <c r="H57" s="125">
        <f t="shared" si="5"/>
        <v>1530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ht="30.75" customHeight="1">
      <c r="A58" s="119">
        <v>8.0</v>
      </c>
      <c r="B58" s="120">
        <v>995462.0</v>
      </c>
      <c r="C58" s="23"/>
      <c r="D58" s="126">
        <v>0.18</v>
      </c>
      <c r="E58" s="127">
        <f>SUM(H31:H34,H43:H45)</f>
        <v>49750</v>
      </c>
      <c r="F58" s="23"/>
      <c r="G58" s="128">
        <f t="shared" si="4"/>
        <v>8955</v>
      </c>
      <c r="H58" s="125">
        <f t="shared" si="5"/>
        <v>8955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ht="30.75" customHeight="1">
      <c r="A59" s="119">
        <v>9.0</v>
      </c>
      <c r="B59" s="120">
        <v>850440.0</v>
      </c>
      <c r="C59" s="23"/>
      <c r="D59" s="126">
        <v>0.18</v>
      </c>
      <c r="E59" s="127">
        <f>SUM(H36:H37)</f>
        <v>2450</v>
      </c>
      <c r="F59" s="23"/>
      <c r="G59" s="128">
        <f t="shared" si="4"/>
        <v>441</v>
      </c>
      <c r="H59" s="125">
        <f t="shared" si="5"/>
        <v>441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ht="30.75" customHeight="1">
      <c r="A60" s="119">
        <v>10.0</v>
      </c>
      <c r="B60" s="120">
        <v>940310.0</v>
      </c>
      <c r="C60" s="23"/>
      <c r="D60" s="126">
        <v>0.18</v>
      </c>
      <c r="E60" s="127">
        <f>SUM(H39,)</f>
        <v>1050</v>
      </c>
      <c r="F60" s="23"/>
      <c r="G60" s="128">
        <f t="shared" si="4"/>
        <v>189</v>
      </c>
      <c r="H60" s="125">
        <f t="shared" si="5"/>
        <v>189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ht="30.75" customHeight="1">
      <c r="A61" s="130">
        <v>11.0</v>
      </c>
      <c r="B61" s="131">
        <v>2201.0</v>
      </c>
      <c r="C61" s="132"/>
      <c r="D61" s="133">
        <v>0.18</v>
      </c>
      <c r="E61" s="134">
        <f>SUM(H42)</f>
        <v>5100</v>
      </c>
      <c r="F61" s="132"/>
      <c r="G61" s="135">
        <f t="shared" si="4"/>
        <v>918</v>
      </c>
      <c r="H61" s="136">
        <f t="shared" si="5"/>
        <v>918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ht="30.75" customHeight="1">
      <c r="A62" s="137"/>
      <c r="B62" s="138" t="s">
        <v>81</v>
      </c>
      <c r="C62" s="5"/>
      <c r="D62" s="139"/>
      <c r="E62" s="140">
        <f>SUM(E51:F61)</f>
        <v>128606.4</v>
      </c>
      <c r="F62" s="5"/>
      <c r="G62" s="141">
        <f t="shared" ref="G62:H62" si="7">SUM(G51:G61)</f>
        <v>23149.152</v>
      </c>
      <c r="H62" s="142">
        <f t="shared" si="7"/>
        <v>23149.152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ht="15.75" customHeight="1">
      <c r="A63" s="143"/>
      <c r="B63" s="143" t="s">
        <v>82</v>
      </c>
      <c r="C63" s="123"/>
      <c r="D63" s="144"/>
      <c r="E63" s="145"/>
      <c r="F63" s="38"/>
      <c r="G63" s="146" t="s">
        <v>83</v>
      </c>
      <c r="H63" s="52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ht="15.75" customHeight="1">
      <c r="A64" s="147"/>
      <c r="B64" s="147" t="s">
        <v>84</v>
      </c>
      <c r="C64" s="23"/>
      <c r="D64" s="75"/>
      <c r="E64" s="148"/>
      <c r="F64" s="38"/>
      <c r="G64" s="149" t="s">
        <v>85</v>
      </c>
      <c r="H64" s="25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ht="15.75" customHeight="1">
      <c r="A65" s="147"/>
      <c r="B65" s="147" t="s">
        <v>86</v>
      </c>
      <c r="C65" s="23"/>
      <c r="D65" s="75"/>
      <c r="E65" s="148"/>
      <c r="F65" s="38"/>
      <c r="G65" s="150"/>
      <c r="H65" s="48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ht="15.75" customHeight="1">
      <c r="A66" s="151"/>
      <c r="B66" s="152" t="s">
        <v>87</v>
      </c>
      <c r="C66" s="132"/>
      <c r="D66" s="75"/>
      <c r="E66" s="148"/>
      <c r="F66" s="38"/>
      <c r="G66" s="148"/>
      <c r="H66" s="3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ht="15.75" customHeight="1">
      <c r="A67" s="151"/>
      <c r="B67" s="153"/>
      <c r="C67" s="38"/>
      <c r="D67" s="75"/>
      <c r="E67" s="148"/>
      <c r="F67" s="38"/>
      <c r="G67" s="148"/>
      <c r="H67" s="3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ht="15.75" customHeight="1">
      <c r="A68" s="151"/>
      <c r="B68" s="153"/>
      <c r="C68" s="38"/>
      <c r="D68" s="75"/>
      <c r="E68" s="148"/>
      <c r="F68" s="38"/>
      <c r="G68" s="148"/>
      <c r="H68" s="3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ht="15.75" customHeight="1">
      <c r="A69" s="151"/>
      <c r="B69" s="153"/>
      <c r="C69" s="38"/>
      <c r="D69" s="75"/>
      <c r="E69" s="50"/>
      <c r="F69" s="123"/>
      <c r="G69" s="50"/>
      <c r="H69" s="52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ht="15.75" customHeight="1">
      <c r="A70" s="154"/>
      <c r="B70" s="155"/>
      <c r="C70" s="156"/>
      <c r="D70" s="157"/>
      <c r="E70" s="158" t="s">
        <v>88</v>
      </c>
      <c r="F70" s="31"/>
      <c r="G70" s="159" t="s">
        <v>89</v>
      </c>
      <c r="H70" s="60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ht="15.75" customHeight="1">
      <c r="H71" s="160"/>
    </row>
    <row r="72" ht="15.75" customHeight="1">
      <c r="H72" s="160"/>
    </row>
    <row r="73" ht="15.75" customHeight="1">
      <c r="H73" s="160"/>
    </row>
    <row r="74" ht="15.75" customHeight="1">
      <c r="H74" s="160"/>
    </row>
    <row r="75" ht="15.75" customHeight="1">
      <c r="H75" s="160"/>
    </row>
    <row r="76" ht="15.75" customHeight="1">
      <c r="H76" s="160"/>
    </row>
    <row r="77" ht="15.75" customHeight="1">
      <c r="H77" s="160"/>
    </row>
    <row r="78" ht="15.75" customHeight="1">
      <c r="H78" s="160"/>
    </row>
    <row r="79" ht="15.75" customHeight="1">
      <c r="H79" s="160"/>
    </row>
    <row r="80" ht="15.75" customHeight="1">
      <c r="H80" s="160"/>
    </row>
    <row r="81" ht="15.75" customHeight="1">
      <c r="H81" s="160"/>
    </row>
    <row r="82" ht="15.75" customHeight="1">
      <c r="H82" s="160"/>
    </row>
    <row r="83" ht="15.75" customHeight="1">
      <c r="H83" s="160"/>
    </row>
    <row r="84" ht="15.75" customHeight="1">
      <c r="H84" s="160"/>
    </row>
    <row r="85" ht="15.75" customHeight="1">
      <c r="H85" s="160"/>
    </row>
    <row r="86" ht="15.75" customHeight="1">
      <c r="H86" s="160"/>
    </row>
    <row r="87" ht="15.75" customHeight="1">
      <c r="H87" s="160"/>
    </row>
    <row r="88" ht="15.75" customHeight="1">
      <c r="H88" s="160"/>
    </row>
    <row r="89" ht="15.75" customHeight="1">
      <c r="H89" s="160"/>
    </row>
    <row r="90" ht="15.75" customHeight="1">
      <c r="H90" s="160"/>
    </row>
    <row r="91" ht="15.75" customHeight="1">
      <c r="H91" s="160"/>
    </row>
    <row r="92" ht="15.75" customHeight="1">
      <c r="H92" s="160"/>
    </row>
    <row r="93" ht="15.75" customHeight="1">
      <c r="H93" s="160"/>
    </row>
    <row r="94" ht="15.75" customHeight="1">
      <c r="H94" s="160"/>
    </row>
    <row r="95" ht="15.75" customHeight="1">
      <c r="H95" s="160"/>
    </row>
    <row r="96" ht="15.75" customHeight="1">
      <c r="H96" s="160"/>
    </row>
    <row r="97" ht="15.75" customHeight="1">
      <c r="H97" s="160"/>
    </row>
    <row r="98" ht="15.75" customHeight="1">
      <c r="H98" s="160"/>
    </row>
    <row r="99" ht="15.75" customHeight="1">
      <c r="H99" s="160"/>
    </row>
    <row r="100" ht="15.75" customHeight="1">
      <c r="H100" s="160"/>
    </row>
    <row r="101" ht="15.75" customHeight="1">
      <c r="H101" s="160"/>
    </row>
    <row r="102" ht="15.75" customHeight="1">
      <c r="H102" s="160"/>
    </row>
    <row r="103" ht="15.75" customHeight="1">
      <c r="H103" s="160"/>
    </row>
    <row r="104" ht="15.75" customHeight="1">
      <c r="H104" s="160"/>
    </row>
    <row r="105" ht="15.75" customHeight="1">
      <c r="H105" s="160"/>
    </row>
    <row r="106" ht="15.75" customHeight="1">
      <c r="H106" s="160"/>
    </row>
    <row r="107" ht="15.75" customHeight="1">
      <c r="H107" s="160"/>
    </row>
    <row r="108" ht="15.75" customHeight="1">
      <c r="H108" s="160"/>
    </row>
    <row r="109" ht="15.75" customHeight="1">
      <c r="H109" s="160"/>
    </row>
    <row r="110" ht="15.75" customHeight="1">
      <c r="H110" s="160"/>
    </row>
    <row r="111" ht="15.75" customHeight="1">
      <c r="H111" s="160"/>
    </row>
    <row r="112" ht="15.75" customHeight="1">
      <c r="H112" s="160"/>
    </row>
    <row r="113" ht="15.75" customHeight="1">
      <c r="H113" s="160"/>
    </row>
    <row r="114" ht="15.75" customHeight="1">
      <c r="H114" s="160"/>
    </row>
    <row r="115" ht="15.75" customHeight="1">
      <c r="H115" s="160"/>
    </row>
    <row r="116" ht="15.75" customHeight="1">
      <c r="H116" s="160"/>
    </row>
    <row r="117" ht="15.75" customHeight="1">
      <c r="H117" s="160"/>
    </row>
    <row r="118" ht="15.75" customHeight="1">
      <c r="H118" s="160"/>
    </row>
    <row r="119" ht="15.75" customHeight="1">
      <c r="H119" s="160"/>
    </row>
    <row r="120" ht="15.75" customHeight="1">
      <c r="H120" s="160"/>
    </row>
    <row r="121" ht="15.75" customHeight="1">
      <c r="H121" s="160"/>
    </row>
    <row r="122" ht="15.75" customHeight="1">
      <c r="H122" s="160"/>
    </row>
    <row r="123" ht="15.75" customHeight="1">
      <c r="H123" s="160"/>
    </row>
    <row r="124" ht="15.75" customHeight="1">
      <c r="H124" s="160"/>
    </row>
    <row r="125" ht="15.75" customHeight="1">
      <c r="H125" s="160"/>
    </row>
    <row r="126" ht="15.75" customHeight="1">
      <c r="H126" s="160"/>
    </row>
    <row r="127" ht="15.75" customHeight="1">
      <c r="H127" s="160"/>
    </row>
    <row r="128" ht="15.75" customHeight="1">
      <c r="H128" s="160"/>
    </row>
    <row r="129" ht="15.75" customHeight="1">
      <c r="H129" s="160"/>
    </row>
    <row r="130" ht="15.75" customHeight="1">
      <c r="H130" s="160"/>
    </row>
    <row r="131" ht="15.75" customHeight="1">
      <c r="H131" s="160"/>
    </row>
    <row r="132" ht="15.75" customHeight="1">
      <c r="H132" s="160"/>
    </row>
    <row r="133" ht="15.75" customHeight="1">
      <c r="H133" s="160"/>
    </row>
    <row r="134" ht="15.75" customHeight="1">
      <c r="H134" s="160"/>
    </row>
    <row r="135" ht="15.75" customHeight="1">
      <c r="H135" s="160"/>
    </row>
    <row r="136" ht="15.75" customHeight="1">
      <c r="H136" s="160"/>
    </row>
    <row r="137" ht="15.75" customHeight="1">
      <c r="H137" s="160"/>
    </row>
    <row r="138" ht="15.75" customHeight="1">
      <c r="H138" s="160"/>
    </row>
    <row r="139" ht="15.75" customHeight="1">
      <c r="H139" s="160"/>
    </row>
    <row r="140" ht="15.75" customHeight="1">
      <c r="H140" s="160"/>
    </row>
    <row r="141" ht="15.75" customHeight="1">
      <c r="H141" s="160"/>
    </row>
    <row r="142" ht="15.75" customHeight="1">
      <c r="H142" s="160"/>
    </row>
    <row r="143" ht="15.75" customHeight="1">
      <c r="H143" s="160"/>
    </row>
    <row r="144" ht="15.75" customHeight="1">
      <c r="H144" s="160"/>
    </row>
    <row r="145" ht="15.75" customHeight="1">
      <c r="H145" s="160"/>
    </row>
    <row r="146" ht="15.75" customHeight="1">
      <c r="H146" s="160"/>
    </row>
    <row r="147" ht="15.75" customHeight="1">
      <c r="H147" s="160"/>
    </row>
    <row r="148" ht="15.75" customHeight="1">
      <c r="H148" s="160"/>
    </row>
    <row r="149" ht="15.75" customHeight="1">
      <c r="H149" s="160"/>
    </row>
    <row r="150" ht="15.75" customHeight="1">
      <c r="H150" s="160"/>
    </row>
    <row r="151" ht="15.75" customHeight="1">
      <c r="H151" s="160"/>
    </row>
    <row r="152" ht="15.75" customHeight="1">
      <c r="H152" s="160"/>
    </row>
    <row r="153" ht="15.75" customHeight="1">
      <c r="H153" s="160"/>
    </row>
    <row r="154" ht="15.75" customHeight="1">
      <c r="H154" s="160"/>
    </row>
    <row r="155" ht="15.75" customHeight="1">
      <c r="H155" s="160"/>
    </row>
    <row r="156" ht="15.75" customHeight="1">
      <c r="H156" s="160"/>
    </row>
    <row r="157" ht="15.75" customHeight="1">
      <c r="H157" s="160"/>
    </row>
    <row r="158" ht="15.75" customHeight="1">
      <c r="H158" s="160"/>
    </row>
    <row r="159" ht="15.75" customHeight="1">
      <c r="H159" s="160"/>
    </row>
    <row r="160" ht="15.75" customHeight="1">
      <c r="H160" s="160"/>
    </row>
    <row r="161" ht="15.75" customHeight="1">
      <c r="H161" s="160"/>
    </row>
    <row r="162" ht="15.75" customHeight="1">
      <c r="H162" s="160"/>
    </row>
    <row r="163" ht="15.75" customHeight="1">
      <c r="H163" s="160"/>
    </row>
    <row r="164" ht="15.75" customHeight="1">
      <c r="H164" s="160"/>
    </row>
    <row r="165" ht="15.75" customHeight="1">
      <c r="H165" s="160"/>
    </row>
    <row r="166" ht="15.75" customHeight="1">
      <c r="H166" s="160"/>
    </row>
    <row r="167" ht="15.75" customHeight="1">
      <c r="H167" s="160"/>
    </row>
    <row r="168" ht="15.75" customHeight="1">
      <c r="H168" s="160"/>
    </row>
    <row r="169" ht="15.75" customHeight="1">
      <c r="H169" s="160"/>
    </row>
    <row r="170" ht="15.75" customHeight="1">
      <c r="H170" s="160"/>
    </row>
    <row r="171" ht="15.75" customHeight="1">
      <c r="H171" s="160"/>
    </row>
    <row r="172" ht="15.75" customHeight="1">
      <c r="H172" s="160"/>
    </row>
    <row r="173" ht="15.75" customHeight="1">
      <c r="H173" s="160"/>
    </row>
    <row r="174" ht="15.75" customHeight="1">
      <c r="H174" s="160"/>
    </row>
    <row r="175" ht="15.75" customHeight="1">
      <c r="H175" s="160"/>
    </row>
    <row r="176" ht="15.75" customHeight="1">
      <c r="H176" s="160"/>
    </row>
    <row r="177" ht="15.75" customHeight="1">
      <c r="H177" s="160"/>
    </row>
    <row r="178" ht="15.75" customHeight="1">
      <c r="H178" s="160"/>
    </row>
    <row r="179" ht="15.75" customHeight="1">
      <c r="H179" s="160"/>
    </row>
    <row r="180" ht="15.75" customHeight="1">
      <c r="H180" s="160"/>
    </row>
    <row r="181" ht="15.75" customHeight="1">
      <c r="H181" s="160"/>
    </row>
    <row r="182" ht="15.75" customHeight="1">
      <c r="H182" s="160"/>
    </row>
    <row r="183" ht="15.75" customHeight="1">
      <c r="H183" s="160"/>
    </row>
    <row r="184" ht="15.75" customHeight="1">
      <c r="H184" s="160"/>
    </row>
    <row r="185" ht="15.75" customHeight="1">
      <c r="H185" s="160"/>
    </row>
    <row r="186" ht="15.75" customHeight="1">
      <c r="H186" s="160"/>
    </row>
    <row r="187" ht="15.75" customHeight="1">
      <c r="H187" s="160"/>
    </row>
    <row r="188" ht="15.75" customHeight="1">
      <c r="H188" s="160"/>
    </row>
    <row r="189" ht="15.75" customHeight="1">
      <c r="H189" s="160"/>
    </row>
    <row r="190" ht="15.75" customHeight="1">
      <c r="H190" s="160"/>
    </row>
    <row r="191" ht="15.75" customHeight="1">
      <c r="H191" s="160"/>
    </row>
    <row r="192" ht="15.75" customHeight="1">
      <c r="H192" s="160"/>
    </row>
    <row r="193" ht="15.75" customHeight="1">
      <c r="H193" s="160"/>
    </row>
    <row r="194" ht="15.75" customHeight="1">
      <c r="H194" s="160"/>
    </row>
    <row r="195" ht="15.75" customHeight="1">
      <c r="H195" s="160"/>
    </row>
    <row r="196" ht="15.75" customHeight="1">
      <c r="H196" s="160"/>
    </row>
    <row r="197" ht="15.75" customHeight="1">
      <c r="H197" s="160"/>
    </row>
    <row r="198" ht="15.75" customHeight="1">
      <c r="H198" s="160"/>
    </row>
    <row r="199" ht="15.75" customHeight="1">
      <c r="H199" s="160"/>
    </row>
    <row r="200" ht="15.75" customHeight="1">
      <c r="H200" s="160"/>
    </row>
    <row r="201" ht="15.75" customHeight="1">
      <c r="H201" s="160"/>
    </row>
    <row r="202" ht="15.75" customHeight="1">
      <c r="H202" s="160"/>
    </row>
    <row r="203" ht="15.75" customHeight="1">
      <c r="H203" s="160"/>
    </row>
    <row r="204" ht="15.75" customHeight="1">
      <c r="H204" s="160"/>
    </row>
    <row r="205" ht="15.75" customHeight="1">
      <c r="H205" s="160"/>
    </row>
    <row r="206" ht="15.75" customHeight="1">
      <c r="H206" s="160"/>
    </row>
    <row r="207" ht="15.75" customHeight="1">
      <c r="H207" s="160"/>
    </row>
    <row r="208" ht="15.75" customHeight="1">
      <c r="H208" s="160"/>
    </row>
    <row r="209" ht="15.75" customHeight="1">
      <c r="H209" s="160"/>
    </row>
    <row r="210" ht="15.75" customHeight="1">
      <c r="H210" s="160"/>
    </row>
    <row r="211" ht="15.75" customHeight="1">
      <c r="H211" s="160"/>
    </row>
    <row r="212" ht="15.75" customHeight="1">
      <c r="H212" s="160"/>
    </row>
    <row r="213" ht="15.75" customHeight="1">
      <c r="H213" s="160"/>
    </row>
    <row r="214" ht="15.75" customHeight="1">
      <c r="H214" s="160"/>
    </row>
    <row r="215" ht="15.75" customHeight="1">
      <c r="H215" s="160"/>
    </row>
    <row r="216" ht="15.75" customHeight="1">
      <c r="H216" s="160"/>
    </row>
    <row r="217" ht="15.75" customHeight="1">
      <c r="H217" s="160"/>
    </row>
    <row r="218" ht="15.75" customHeight="1">
      <c r="H218" s="160"/>
    </row>
    <row r="219" ht="15.75" customHeight="1">
      <c r="H219" s="160"/>
    </row>
    <row r="220" ht="15.75" customHeight="1">
      <c r="H220" s="160"/>
    </row>
    <row r="221" ht="15.75" customHeight="1">
      <c r="H221" s="160"/>
    </row>
    <row r="222" ht="15.75" customHeight="1">
      <c r="H222" s="160"/>
    </row>
    <row r="223" ht="15.75" customHeight="1">
      <c r="H223" s="160"/>
    </row>
    <row r="224" ht="15.75" customHeight="1">
      <c r="H224" s="160"/>
    </row>
    <row r="225" ht="15.75" customHeight="1">
      <c r="H225" s="160"/>
    </row>
    <row r="226" ht="15.75" customHeight="1">
      <c r="H226" s="160"/>
    </row>
    <row r="227" ht="15.75" customHeight="1">
      <c r="H227" s="160"/>
    </row>
    <row r="228" ht="15.75" customHeight="1">
      <c r="H228" s="160"/>
    </row>
    <row r="229" ht="15.75" customHeight="1">
      <c r="H229" s="160"/>
    </row>
    <row r="230" ht="15.75" customHeight="1">
      <c r="H230" s="160"/>
    </row>
    <row r="231" ht="15.75" customHeight="1">
      <c r="H231" s="160"/>
    </row>
    <row r="232" ht="15.75" customHeight="1">
      <c r="H232" s="160"/>
    </row>
    <row r="233" ht="15.75" customHeight="1">
      <c r="H233" s="160"/>
    </row>
    <row r="234" ht="15.75" customHeight="1">
      <c r="H234" s="160"/>
    </row>
    <row r="235" ht="15.75" customHeight="1">
      <c r="H235" s="160"/>
    </row>
    <row r="236" ht="15.75" customHeight="1">
      <c r="H236" s="160"/>
    </row>
    <row r="237" ht="15.75" customHeight="1">
      <c r="H237" s="160"/>
    </row>
    <row r="238" ht="15.75" customHeight="1">
      <c r="H238" s="160"/>
    </row>
    <row r="239" ht="15.75" customHeight="1">
      <c r="H239" s="160"/>
    </row>
    <row r="240" ht="15.75" customHeight="1">
      <c r="H240" s="160"/>
    </row>
    <row r="241" ht="15.75" customHeight="1">
      <c r="H241" s="160"/>
    </row>
    <row r="242" ht="15.75" customHeight="1">
      <c r="H242" s="160"/>
    </row>
    <row r="243" ht="15.75" customHeight="1">
      <c r="H243" s="160"/>
    </row>
    <row r="244" ht="15.75" customHeight="1">
      <c r="H244" s="160"/>
    </row>
    <row r="245" ht="15.75" customHeight="1">
      <c r="H245" s="160"/>
    </row>
    <row r="246" ht="15.75" customHeight="1">
      <c r="H246" s="160"/>
    </row>
    <row r="247" ht="15.75" customHeight="1">
      <c r="H247" s="160"/>
    </row>
    <row r="248" ht="15.75" customHeight="1">
      <c r="H248" s="160"/>
    </row>
    <row r="249" ht="15.75" customHeight="1">
      <c r="H249" s="160"/>
    </row>
    <row r="250" ht="15.75" customHeight="1">
      <c r="H250" s="160"/>
    </row>
    <row r="251" ht="15.75" customHeight="1">
      <c r="H251" s="160"/>
    </row>
    <row r="252" ht="15.75" customHeight="1">
      <c r="H252" s="160"/>
    </row>
    <row r="253" ht="15.75" customHeight="1">
      <c r="H253" s="160"/>
    </row>
    <row r="254" ht="15.75" customHeight="1">
      <c r="H254" s="160"/>
    </row>
    <row r="255" ht="15.75" customHeight="1">
      <c r="H255" s="160"/>
    </row>
    <row r="256" ht="15.75" customHeight="1">
      <c r="H256" s="160"/>
    </row>
    <row r="257" ht="15.75" customHeight="1">
      <c r="H257" s="160"/>
    </row>
    <row r="258" ht="15.75" customHeight="1">
      <c r="H258" s="160"/>
    </row>
    <row r="259" ht="15.75" customHeight="1">
      <c r="H259" s="160"/>
    </row>
    <row r="260" ht="15.75" customHeight="1">
      <c r="H260" s="160"/>
    </row>
    <row r="261" ht="15.75" customHeight="1">
      <c r="H261" s="160"/>
    </row>
    <row r="262" ht="15.75" customHeight="1">
      <c r="H262" s="160"/>
    </row>
    <row r="263" ht="15.75" customHeight="1">
      <c r="H263" s="160"/>
    </row>
    <row r="264" ht="15.75" customHeight="1">
      <c r="H264" s="160"/>
    </row>
    <row r="265" ht="15.75" customHeight="1">
      <c r="H265" s="160"/>
    </row>
    <row r="266" ht="15.75" customHeight="1">
      <c r="H266" s="160"/>
    </row>
    <row r="267" ht="15.75" customHeight="1">
      <c r="H267" s="160"/>
    </row>
    <row r="268" ht="15.75" customHeight="1">
      <c r="H268" s="160"/>
    </row>
    <row r="269" ht="15.75" customHeight="1">
      <c r="H269" s="160"/>
    </row>
    <row r="270" ht="15.75" customHeight="1">
      <c r="H270" s="160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59">
    <mergeCell ref="E70:F70"/>
    <mergeCell ref="G70:H70"/>
    <mergeCell ref="E60:F60"/>
    <mergeCell ref="E61:F61"/>
    <mergeCell ref="E62:F62"/>
    <mergeCell ref="E63:F69"/>
    <mergeCell ref="G63:H63"/>
    <mergeCell ref="G64:H64"/>
    <mergeCell ref="G65:H69"/>
    <mergeCell ref="B1:B2"/>
    <mergeCell ref="C1:H1"/>
    <mergeCell ref="C2:H2"/>
    <mergeCell ref="B3:H3"/>
    <mergeCell ref="E4:F4"/>
    <mergeCell ref="G4:H4"/>
    <mergeCell ref="G5:H5"/>
    <mergeCell ref="E5:F5"/>
    <mergeCell ref="B6:C6"/>
    <mergeCell ref="E6:F6"/>
    <mergeCell ref="G6:H6"/>
    <mergeCell ref="E7:F7"/>
    <mergeCell ref="E8:F8"/>
    <mergeCell ref="G8:H8"/>
    <mergeCell ref="B9:C9"/>
    <mergeCell ref="E9:H9"/>
    <mergeCell ref="F10:H10"/>
    <mergeCell ref="F11:H12"/>
    <mergeCell ref="F13:H13"/>
    <mergeCell ref="F14:H14"/>
    <mergeCell ref="F15:H15"/>
    <mergeCell ref="C11:C12"/>
    <mergeCell ref="B16:C16"/>
    <mergeCell ref="B50:C50"/>
    <mergeCell ref="E50:F50"/>
    <mergeCell ref="B51:C51"/>
    <mergeCell ref="E51:F51"/>
    <mergeCell ref="E52:F52"/>
    <mergeCell ref="B59:C59"/>
    <mergeCell ref="B60:C60"/>
    <mergeCell ref="B61:C61"/>
    <mergeCell ref="B62:C62"/>
    <mergeCell ref="B63:C63"/>
    <mergeCell ref="B64:C64"/>
    <mergeCell ref="B65:C65"/>
    <mergeCell ref="B66:C70"/>
    <mergeCell ref="B52:C52"/>
    <mergeCell ref="B53:C53"/>
    <mergeCell ref="B54:C54"/>
    <mergeCell ref="B55:C55"/>
    <mergeCell ref="B56:C56"/>
    <mergeCell ref="B57:C57"/>
    <mergeCell ref="B58:C58"/>
    <mergeCell ref="E53:F53"/>
    <mergeCell ref="E54:F54"/>
    <mergeCell ref="E55:F55"/>
    <mergeCell ref="E56:F56"/>
    <mergeCell ref="E57:F57"/>
    <mergeCell ref="E58:F58"/>
    <mergeCell ref="E59:F59"/>
  </mergeCells>
  <dataValidations>
    <dataValidation type="custom" allowBlank="1" showErrorMessage="1" sqref="G20">
      <formula1>NOT(ISBLANK(#REF!))</formula1>
    </dataValidation>
    <dataValidation type="custom" allowBlank="1" showErrorMessage="1" sqref="F11">
      <formula1>NOT(ISBLANK(F10))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