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BILL" sheetId="1" r:id="rId5"/>
  </sheets>
  <definedNames/>
  <calcPr/>
</workbook>
</file>

<file path=xl/sharedStrings.xml><?xml version="1.0" encoding="utf-8"?>
<sst xmlns="http://schemas.openxmlformats.org/spreadsheetml/2006/main" count="204" uniqueCount="135">
  <si>
    <t>M/S I FOUR U ENGINEERING SERVICES</t>
  </si>
  <si>
    <t>Office Address :  House No. 329, New Karmik Nagar, PO ISM, Dhanbad,
Jharkhand, 826004, Ph No. +91 7042220470</t>
  </si>
  <si>
    <t>GSTIN : 20ARNPA8397C1ZX</t>
  </si>
  <si>
    <t xml:space="preserve">INVOICE NUMBER </t>
  </si>
  <si>
    <t>16/CH/FY/25-26</t>
  </si>
  <si>
    <t>Transportation Mode</t>
  </si>
  <si>
    <t>Work at site</t>
  </si>
  <si>
    <t xml:space="preserve">GSTIN : </t>
  </si>
  <si>
    <r>
      <rPr>
        <rFont val="Bookman Old Style"/>
        <b/>
        <color rgb="FF1F1F1F"/>
        <sz val="12.0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</si>
  <si>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</si>
  <si>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</si>
  <si>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</si>
  <si>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</si>
  <si>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</si>
  <si>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</si>
  <si>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Shahjahanpur, UP -Pin -242001</t>
  </si>
  <si>
    <t>Details of Reciever (Billed to)</t>
  </si>
  <si>
    <t>Details of Consignee (Work at Site)</t>
  </si>
  <si>
    <t>Name</t>
  </si>
  <si>
    <t>Cholamandalam Investment And Finance Co. ltd</t>
  </si>
  <si>
    <t>Cholamandalam Investment And Finance Co. ltd.</t>
  </si>
  <si>
    <t>Address</t>
  </si>
  <si>
    <t>9th Floor ,Titanium,Plot No TC/G 1/1 Office No.-901 to 907,Shalimar Corporate Park, Gomti Nagar ,Vibhuti Khand, Lucknow (UP) Pin -226010</t>
  </si>
  <si>
    <t>First Floor , Sadar Bazar (Town Hall), Near HDFC Bank,Shahjahanpur (UP), Pin- 242001</t>
  </si>
  <si>
    <t>State</t>
  </si>
  <si>
    <t>Uttar Pradesh</t>
  </si>
  <si>
    <t>State Code</t>
  </si>
  <si>
    <t>`09</t>
  </si>
  <si>
    <t>GSTIN NO.</t>
  </si>
  <si>
    <t>09AAACC1226H1Z2</t>
  </si>
  <si>
    <t>W/0: 26096/12.12.2025</t>
  </si>
  <si>
    <t>S NO.</t>
  </si>
  <si>
    <t>ITEM NAME</t>
  </si>
  <si>
    <t>DESCRIPTION OF THE ITEM</t>
  </si>
  <si>
    <t>SAC</t>
  </si>
  <si>
    <t>GST RATE</t>
  </si>
  <si>
    <t>UNIT</t>
  </si>
  <si>
    <t>Price</t>
  </si>
  <si>
    <t>Quantity</t>
  </si>
  <si>
    <t>Amount</t>
  </si>
  <si>
    <t>I</t>
  </si>
  <si>
    <t>MODULAR FURNITURE</t>
  </si>
  <si>
    <t>WORKSTATIONS – 1200mm x 600mm</t>
  </si>
  <si>
    <t>Nos</t>
  </si>
  <si>
    <t>WRKSTATION- 1500mm x 600mm</t>
  </si>
  <si>
    <t>MANAGER CUBICLE – 1475mm x 1475mm</t>
  </si>
  <si>
    <t>SHARED CUBICLE- 1475mm x 1475mm</t>
  </si>
  <si>
    <t>HALF/FULL  HEIGHT PARTITION – MODULAR</t>
  </si>
  <si>
    <t>Sft</t>
  </si>
  <si>
    <t>HALF/FULL HEIGHT STORAGES</t>
  </si>
  <si>
    <t>SUPPLY OF DRAWER MOBILE PEDESTALS</t>
  </si>
  <si>
    <t>Discussion Table -4 seater</t>
  </si>
  <si>
    <t>Meeting Table - 12 seater</t>
  </si>
  <si>
    <t>Running Counter Table</t>
  </si>
  <si>
    <t>RFT</t>
  </si>
  <si>
    <t>INTERIOR WORKS</t>
  </si>
  <si>
    <t>Gypsum Parttion</t>
  </si>
  <si>
    <t xml:space="preserve"> SEMI GLAZED Soild WOODEN PARTITION.</t>
  </si>
  <si>
    <t>Cash Counter Partition</t>
  </si>
  <si>
    <t>Single Leaf Wooden door</t>
  </si>
  <si>
    <t>A</t>
  </si>
  <si>
    <t>Opening size:  1050mm x 2250mm</t>
  </si>
  <si>
    <t>B</t>
  </si>
  <si>
    <t>Opening size:  900mm x 2250</t>
  </si>
  <si>
    <t>Gypsum False Ceiling</t>
  </si>
  <si>
    <t>Grid Ceiling</t>
  </si>
  <si>
    <t>ACRYLIC EMULSION PAINT</t>
  </si>
  <si>
    <t>COMPLIANCE BOARD</t>
  </si>
  <si>
    <t>WHITE BOARD</t>
  </si>
  <si>
    <t>Supply &amp; Fixing of Roller Blinds</t>
  </si>
  <si>
    <t xml:space="preserve"> PANELLING</t>
  </si>
  <si>
    <t>ELECTRICAL WORKS</t>
  </si>
  <si>
    <t>ELECTRICAL POINTS</t>
  </si>
  <si>
    <t>RAW POINTS POINTS -FOR FANS</t>
  </si>
  <si>
    <t>UPS POWER POINTS</t>
  </si>
  <si>
    <t xml:space="preserve">RAW POWER POINTS </t>
  </si>
  <si>
    <t>AC POWER POINTS</t>
  </si>
  <si>
    <t>ELECTRICAL WIRING FOR RAW,UPS,LIGHTING AND AC CIRCUIT</t>
  </si>
  <si>
    <t>Supply and laying of 2 run 2.5 Sq.mm +1 run 1.5 Sq.mm PVC insulated copper wire(FRLS) with suitable PVC conduit with all necessary accessories.</t>
  </si>
  <si>
    <t>RMT</t>
  </si>
  <si>
    <t>Supply and laying of 2 run 4 Sq.mm +1 run 2.5 Sq.mm PVC insulated copper wire(FRLS) with suitable PVC conduit with all necessary accessories.</t>
  </si>
  <si>
    <t>C</t>
  </si>
  <si>
    <t>Supply , Laying and Commissioning of 3.5 core , 16 sqmm FRLS Main cable</t>
  </si>
  <si>
    <t>UPS – IN AND OUT WIRING</t>
  </si>
  <si>
    <t xml:space="preserve">Supply and laying of 2 run 4 Sq.mm +1 run 1.5 Sq.mm </t>
  </si>
  <si>
    <t>UPS - IN POWER SOCKET and PRINTER POWER SOCKET</t>
  </si>
  <si>
    <t xml:space="preserve">UPS - OUT  POWER SOCKET </t>
  </si>
  <si>
    <t>EARTHING   SYSTEM</t>
  </si>
  <si>
    <t>1 RUN 6 SQMM</t>
  </si>
  <si>
    <t>Mtrs</t>
  </si>
  <si>
    <t>Supply,  Installation,  Testing  and   Commisioning  of   80mm  dia   Ashlok  earth  electrode and chemical</t>
  </si>
  <si>
    <t>8-LIGHT FITTINGS</t>
  </si>
  <si>
    <t>Supply and fixing of the following light fittings  36W  Recessed Mounted LED Luminaire   Make –  Crompton</t>
  </si>
  <si>
    <t>Supply and Fixing T5/28 watt LED</t>
  </si>
  <si>
    <t>9-FANS</t>
  </si>
  <si>
    <t xml:space="preserve">Supply and installation of 300mm dia sweep wall mounted fan . Make –  Crompton </t>
  </si>
  <si>
    <t>DB</t>
  </si>
  <si>
    <t>Supply and installation of 100 A 4p main ELCB in sheet metal enclosure -Havells</t>
  </si>
  <si>
    <t>FOR RAW POWER DB- Havells</t>
  </si>
  <si>
    <t>Shifting and Reinstallation of Existing Signage</t>
  </si>
  <si>
    <t>Extra</t>
  </si>
  <si>
    <t>25 Amp 4 pole MCB -3 phase for AC</t>
  </si>
  <si>
    <t>NETWORKING-Data</t>
  </si>
  <si>
    <t xml:space="preserve">Supplying and Laying CAT-6 - DLink cable </t>
  </si>
  <si>
    <t>Supply and installation of RJ45 Cat-6 information outlets and face plate.</t>
  </si>
  <si>
    <t>Supply of Cat-6 Double ended Factory crimped Patch  Chords for  Data  points ( 7 ft) Rack side.</t>
  </si>
  <si>
    <t>Supply of Cat-6 Double ended Factory crimped Patch  Chords for  Data  points ( 3 ft) Computer side.</t>
  </si>
  <si>
    <t>Supply and installation of Rack   mountable,  Cat-6  24   port  modular  Jack   panels with required terminations( Fully  loaded – Straight)</t>
  </si>
  <si>
    <t>Testing ,documentation, dressing and certification of data,voice and telephone points.</t>
  </si>
  <si>
    <t>Supply and fixing of 9inch  9U  wall mounting open   Rack  Dlink</t>
  </si>
  <si>
    <t>Supply and fixing of   Giga Switch 100/1000 MBPS -Dlink</t>
  </si>
  <si>
    <t>CCTV</t>
  </si>
  <si>
    <t>CAT 6 Cable-CCTV</t>
  </si>
  <si>
    <t>Casing and Caping- CCTV</t>
  </si>
  <si>
    <t>EXTRA</t>
  </si>
  <si>
    <t>12 mm toughened glass providing and Fixing in front façade</t>
  </si>
  <si>
    <t>SFT</t>
  </si>
  <si>
    <t xml:space="preserve">Transportation Loading and unlaoding of Modular Furnitures </t>
  </si>
  <si>
    <t>TOTAL</t>
  </si>
  <si>
    <t>IGST 18%</t>
  </si>
  <si>
    <t>GRAND TOTAL</t>
  </si>
  <si>
    <t>Total- Thirty Lakhs Fifty Four Thousand Four  Hundred Seventy Four Rupees And Sixty Nine  Paisa Only</t>
  </si>
  <si>
    <t>HSN/SAC</t>
  </si>
  <si>
    <t>TAX RATE</t>
  </si>
  <si>
    <t>TAXABLE AMOUNT</t>
  </si>
  <si>
    <t>IGST Amt.</t>
  </si>
  <si>
    <t>TOTAL TAX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</si>
  <si>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</si>
  <si>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</si>
  <si>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</si>
  <si>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</si>
  <si>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 Saraidhela, 828127 </t>
  </si>
  <si>
    <t>Terms and Conditions</t>
  </si>
  <si>
    <t>Common Seal</t>
  </si>
  <si>
    <t>Authorised Signatory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</si>
</sst>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2">
    <font>
      <sz val="10.0"/>
      <color rgb="FF000000"/>
      <name val="Arial"/>
      <scheme val="minor"/>
    </font>
    <font>
      <sz val="10.0"/>
      <color theme="1"/>
      <name val="Arial"/>
    </font>
    <font>
      <b/>
      <sz val="20.0"/>
      <color theme="1"/>
      <name val="Bookman Old Style"/>
    </font>
    <font/>
    <font>
      <b/>
      <sz val="13.0"/>
      <color theme="1"/>
      <name val="Bookman Old Style"/>
    </font>
    <font>
      <b/>
      <sz val="12.0"/>
      <color theme="1"/>
      <name val="Bookman Old Style"/>
    </font>
    <font>
      <b/>
      <sz val="10.0"/>
      <color theme="1"/>
      <name val="Bookman Old Style"/>
    </font>
    <font>
      <b/>
      <sz val="11.0"/>
      <color theme="1"/>
      <name val="Bookman Old Style"/>
    </font>
    <font>
      <b/>
      <sz val="14.0"/>
      <color theme="1"/>
      <name val="Calibri"/>
    </font>
    <font>
      <b/>
      <sz val="12.0"/>
      <color rgb="FF0E2841"/>
      <name val="Aptos Narrow"/>
    </font>
    <font>
      <b/>
      <sz val="12.0"/>
      <color theme="1"/>
      <name val="Calibri"/>
    </font>
    <font>
      <b/>
      <sz val="12.0"/>
      <color rgb="FF0E284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000000"/>
      <name val="Arial"/>
    </font>
    <font>
      <sz val="11.0"/>
      <color theme="1"/>
      <name val="Aptos Narrow"/>
    </font>
    <font>
      <sz val="11.0"/>
      <color rgb="FF000000"/>
      <name val="Arial"/>
    </font>
    <font>
      <sz val="13.0"/>
      <color theme="1"/>
      <name val="Arial"/>
    </font>
    <font>
      <sz val="13.0"/>
      <color theme="1"/>
      <name val="Aptos Narrow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sz val="12.0"/>
      <color rgb="FF000000"/>
      <name val="Arial"/>
    </font>
    <font>
      <sz val="10.0"/>
      <color theme="1"/>
      <name val="Aptos Narrow"/>
    </font>
    <font>
      <b/>
      <sz val="12.0"/>
      <color theme="1"/>
      <name val="Aptos Narrow"/>
    </font>
    <font>
      <b/>
      <sz val="13.0"/>
      <color theme="1"/>
      <name val="Aptos Narrow"/>
    </font>
    <font>
      <b/>
      <sz val="10.0"/>
      <color theme="1"/>
      <name val="Aptos Narrow"/>
    </font>
    <font>
      <b/>
      <sz val="10.0"/>
      <color rgb="FF000000"/>
      <name val="Arial"/>
    </font>
    <font>
      <sz val="11.0"/>
      <color theme="1"/>
      <name val="Arial"/>
    </font>
    <font>
      <sz val="14.0"/>
      <color theme="1"/>
      <name val="Calibri"/>
    </font>
    <font>
      <b/>
      <sz val="13.0"/>
      <color theme="1"/>
      <name val="Arial"/>
    </font>
    <font>
      <sz val="12.0"/>
      <color rgb="FF000000"/>
      <name val="Calibri"/>
    </font>
    <font>
      <b/>
      <sz val="12.0"/>
      <color rgb="FF000000"/>
      <name val="Arial"/>
    </font>
    <font>
      <b/>
      <sz val="14.0"/>
      <color theme="1"/>
      <name val="Arial"/>
    </font>
    <font>
      <b/>
      <i/>
      <sz val="14.0"/>
      <color theme="1"/>
      <name val="Arial"/>
    </font>
    <font>
      <b/>
      <i/>
      <sz val="11.0"/>
      <color theme="1"/>
      <name val="Arial"/>
    </font>
    <font>
      <b/>
      <sz val="15.0"/>
      <color theme="1"/>
      <name val="Arial"/>
    </font>
    <font>
      <sz val="14.0"/>
      <color theme="1"/>
      <name val="Arial"/>
    </font>
    <font>
      <sz val="9.0"/>
      <color theme="1"/>
      <name val="Calibri"/>
    </font>
    <font>
      <b/>
      <sz val="15.0"/>
      <color theme="1"/>
      <name val="Calibri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5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1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6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5" fillId="0" fontId="7" numFmtId="0" xfId="0" applyAlignment="1" applyBorder="1" applyFont="1">
      <alignment horizontal="left"/>
    </xf>
    <xf borderId="16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18" fillId="0" fontId="3" numFmtId="0" xfId="0" applyBorder="1" applyFont="1"/>
    <xf borderId="3" fillId="0" fontId="7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left" vertical="center"/>
    </xf>
    <xf borderId="16" fillId="0" fontId="3" numFmtId="0" xfId="0" applyBorder="1" applyFont="1"/>
    <xf borderId="8" fillId="0" fontId="7" numFmtId="0" xfId="0" applyAlignment="1" applyBorder="1" applyFont="1">
      <alignment horizontal="center"/>
    </xf>
    <xf borderId="14" fillId="0" fontId="5" numFmtId="0" xfId="0" applyAlignment="1" applyBorder="1" applyFont="1">
      <alignment horizontal="left"/>
    </xf>
    <xf borderId="8" fillId="0" fontId="7" numFmtId="164" xfId="0" applyAlignment="1" applyBorder="1" applyFont="1" applyNumberFormat="1">
      <alignment horizontal="center"/>
    </xf>
    <xf borderId="20" fillId="0" fontId="6" numFmtId="0" xfId="0" applyAlignment="1" applyBorder="1" applyFont="1">
      <alignment horizontal="center"/>
    </xf>
    <xf borderId="21" fillId="0" fontId="5" numFmtId="164" xfId="0" applyAlignment="1" applyBorder="1" applyFont="1" applyNumberFormat="1">
      <alignment horizontal="left"/>
    </xf>
    <xf borderId="22" fillId="0" fontId="6" numFmtId="0" xfId="0" applyAlignment="1" applyBorder="1" applyFont="1">
      <alignment horizontal="center"/>
    </xf>
    <xf borderId="23" fillId="0" fontId="3" numFmtId="0" xfId="0" applyBorder="1" applyFont="1"/>
    <xf borderId="24" fillId="0" fontId="6" numFmtId="0" xfId="0" applyAlignment="1" applyBorder="1" applyFont="1">
      <alignment vertical="top"/>
    </xf>
    <xf borderId="21" fillId="0" fontId="1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8" fillId="0" fontId="3" numFmtId="0" xfId="0" applyBorder="1" applyFont="1"/>
    <xf borderId="27" fillId="0" fontId="2" numFmtId="0" xfId="0" applyAlignment="1" applyBorder="1" applyFont="1">
      <alignment horizontal="center"/>
    </xf>
    <xf borderId="29" fillId="0" fontId="3" numFmtId="0" xfId="0" applyBorder="1" applyFont="1"/>
    <xf borderId="17" fillId="0" fontId="5" numFmtId="0" xfId="0" applyAlignment="1" applyBorder="1" applyFont="1">
      <alignment horizontal="left"/>
    </xf>
    <xf borderId="19" fillId="0" fontId="8" numFmtId="0" xfId="0" applyAlignment="1" applyBorder="1" applyFont="1">
      <alignment horizontal="left"/>
    </xf>
    <xf borderId="8" fillId="2" fontId="9" numFmtId="0" xfId="0" applyAlignment="1" applyBorder="1" applyFill="1" applyFont="1">
      <alignment horizontal="left" vertical="top"/>
    </xf>
    <xf borderId="30" fillId="0" fontId="10" numFmtId="0" xfId="0" applyAlignment="1" applyBorder="1" applyFont="1">
      <alignment horizontal="left" shrinkToFit="0" vertical="top" wrapText="1"/>
    </xf>
    <xf borderId="11" fillId="3" fontId="11" numFmtId="49" xfId="0" applyAlignment="1" applyBorder="1" applyFill="1" applyFont="1" applyNumberFormat="1">
      <alignment horizontal="left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19" fillId="0" fontId="12" numFmtId="0" xfId="0" applyAlignment="1" applyBorder="1" applyFont="1">
      <alignment horizontal="left"/>
    </xf>
    <xf borderId="16" fillId="0" fontId="12" numFmtId="0" xfId="0" applyAlignment="1" applyBorder="1" applyFont="1">
      <alignment horizontal="left"/>
    </xf>
    <xf borderId="9" fillId="0" fontId="12" numFmtId="0" xfId="0" applyAlignment="1" applyBorder="1" applyFont="1">
      <alignment horizontal="left"/>
    </xf>
    <xf borderId="6" fillId="0" fontId="12" numFmtId="0" xfId="0" applyAlignment="1" applyBorder="1" applyFont="1">
      <alignment horizontal="left"/>
    </xf>
    <xf borderId="8" fillId="0" fontId="12" numFmtId="0" xfId="0" applyAlignment="1" applyBorder="1" applyFont="1">
      <alignment horizontal="left"/>
    </xf>
    <xf borderId="19" fillId="0" fontId="5" numFmtId="0" xfId="0" applyAlignment="1" applyBorder="1" applyFont="1">
      <alignment horizontal="left"/>
    </xf>
    <xf borderId="8" fillId="0" fontId="5" numFmtId="0" xfId="0" applyAlignment="1" applyBorder="1" applyFont="1">
      <alignment horizontal="left"/>
    </xf>
    <xf borderId="20" fillId="0" fontId="5" numFmtId="0" xfId="0" applyAlignment="1" applyBorder="1" applyFont="1">
      <alignment horizontal="center"/>
    </xf>
    <xf borderId="21" fillId="0" fontId="8" numFmtId="0" xfId="0" applyAlignment="1" applyBorder="1" applyFont="1">
      <alignment horizontal="left"/>
    </xf>
    <xf borderId="23" fillId="0" fontId="8" numFmtId="0" xfId="0" applyAlignment="1" applyBorder="1" applyFont="1">
      <alignment horizontal="left"/>
    </xf>
    <xf borderId="35" fillId="0" fontId="8" numFmtId="0" xfId="0" applyAlignment="1" applyBorder="1" applyFont="1">
      <alignment horizontal="left"/>
    </xf>
    <xf borderId="36" fillId="0" fontId="8" numFmtId="0" xfId="0" applyAlignment="1" applyBorder="1" applyFont="1">
      <alignment horizontal="left"/>
    </xf>
    <xf borderId="37" fillId="0" fontId="3" numFmtId="0" xfId="0" applyBorder="1" applyFont="1"/>
    <xf borderId="35" fillId="0" fontId="3" numFmtId="0" xfId="0" applyBorder="1" applyFont="1"/>
    <xf borderId="32" fillId="0" fontId="5" numFmtId="0" xfId="0" applyAlignment="1" applyBorder="1" applyFont="1">
      <alignment horizontal="left"/>
    </xf>
    <xf borderId="38" fillId="0" fontId="3" numFmtId="0" xfId="0" applyBorder="1" applyFont="1"/>
    <xf borderId="7" fillId="0" fontId="2" numFmtId="0" xfId="0" applyAlignment="1" applyBorder="1" applyFont="1">
      <alignment horizontal="center"/>
    </xf>
    <xf borderId="31" fillId="0" fontId="2" numFmtId="0" xfId="0" applyAlignment="1" applyBorder="1" applyFont="1">
      <alignment horizontal="center"/>
    </xf>
    <xf borderId="39" fillId="0" fontId="2" numFmtId="0" xfId="0" applyAlignment="1" applyBorder="1" applyFont="1">
      <alignment horizontal="center"/>
    </xf>
    <xf borderId="40" fillId="0" fontId="2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41" fillId="0" fontId="13" numFmtId="0" xfId="0" applyAlignment="1" applyBorder="1" applyFont="1">
      <alignment horizontal="center" shrinkToFit="0" wrapText="1"/>
    </xf>
    <xf borderId="41" fillId="0" fontId="14" numFmtId="0" xfId="0" applyAlignment="1" applyBorder="1" applyFont="1">
      <alignment horizontal="center" shrinkToFit="0" wrapText="1"/>
    </xf>
    <xf borderId="41" fillId="0" fontId="14" numFmtId="0" xfId="0" applyAlignment="1" applyBorder="1" applyFont="1">
      <alignment horizontal="center"/>
    </xf>
    <xf borderId="42" fillId="0" fontId="15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7" fillId="0" fontId="16" numFmtId="0" xfId="0" applyBorder="1" applyFont="1"/>
    <xf borderId="7" fillId="0" fontId="14" numFmtId="0" xfId="0" applyAlignment="1" applyBorder="1" applyFont="1">
      <alignment horizontal="center"/>
    </xf>
    <xf borderId="31" fillId="0" fontId="16" numFmtId="0" xfId="0" applyAlignment="1" applyBorder="1" applyFont="1">
      <alignment horizontal="center"/>
    </xf>
    <xf borderId="26" fillId="0" fontId="17" numFmtId="0" xfId="0" applyAlignment="1" applyBorder="1" applyFont="1">
      <alignment horizontal="center" shrinkToFit="0" vertical="center" wrapText="1"/>
    </xf>
    <xf borderId="26" fillId="0" fontId="17" numFmtId="0" xfId="0" applyAlignment="1" applyBorder="1" applyFont="1">
      <alignment horizontal="left" shrinkToFit="0" vertical="center" wrapText="1"/>
    </xf>
    <xf borderId="26" fillId="0" fontId="18" numFmtId="0" xfId="0" applyAlignment="1" applyBorder="1" applyFont="1">
      <alignment horizontal="center" shrinkToFit="0" wrapText="1"/>
    </xf>
    <xf borderId="26" fillId="0" fontId="18" numFmtId="9" xfId="0" applyAlignment="1" applyBorder="1" applyFont="1" applyNumberFormat="1">
      <alignment horizontal="center" shrinkToFit="0" wrapText="1"/>
    </xf>
    <xf borderId="26" fillId="0" fontId="19" numFmtId="0" xfId="0" applyAlignment="1" applyBorder="1" applyFont="1">
      <alignment horizontal="center"/>
    </xf>
    <xf borderId="26" fillId="0" fontId="18" numFmtId="0" xfId="0" applyAlignment="1" applyBorder="1" applyFont="1">
      <alignment horizontal="center"/>
    </xf>
    <xf borderId="19" fillId="0" fontId="16" numFmtId="0" xfId="0" applyAlignment="1" applyBorder="1" applyFont="1">
      <alignment horizontal="center"/>
    </xf>
    <xf borderId="9" fillId="0" fontId="20" numFmtId="0" xfId="0" applyAlignment="1" applyBorder="1" applyFont="1">
      <alignment horizontal="left" shrinkToFit="0" vertical="center" wrapText="1"/>
    </xf>
    <xf borderId="26" fillId="0" fontId="21" numFmtId="0" xfId="0" applyAlignment="1" applyBorder="1" applyFont="1">
      <alignment horizontal="center"/>
    </xf>
    <xf borderId="6" fillId="0" fontId="18" numFmtId="0" xfId="0" applyAlignment="1" applyBorder="1" applyFont="1">
      <alignment horizontal="center" shrinkToFit="0" wrapText="1"/>
    </xf>
    <xf borderId="26" fillId="0" fontId="15" numFmtId="0" xfId="0" applyAlignment="1" applyBorder="1" applyFont="1">
      <alignment horizontal="center" shrinkToFit="0" vertical="center" wrapText="1"/>
    </xf>
    <xf borderId="26" fillId="0" fontId="22" numFmtId="0" xfId="0" applyBorder="1" applyFont="1"/>
    <xf borderId="26" fillId="0" fontId="23" numFmtId="0" xfId="0" applyAlignment="1" applyBorder="1" applyFont="1">
      <alignment horizontal="left" shrinkToFit="0" vertical="center" wrapText="1"/>
    </xf>
    <xf borderId="26" fillId="2" fontId="22" numFmtId="2" xfId="0" applyAlignment="1" applyBorder="1" applyFont="1" applyNumberFormat="1">
      <alignment horizontal="center"/>
    </xf>
    <xf borderId="26" fillId="3" fontId="19" numFmtId="0" xfId="0" applyAlignment="1" applyBorder="1" applyFont="1">
      <alignment horizontal="center"/>
    </xf>
    <xf borderId="26" fillId="3" fontId="18" numFmtId="0" xfId="0" applyAlignment="1" applyBorder="1" applyFont="1">
      <alignment horizontal="center"/>
    </xf>
    <xf borderId="26" fillId="3" fontId="24" numFmtId="0" xfId="0" applyAlignment="1" applyBorder="1" applyFont="1">
      <alignment horizontal="center" shrinkToFit="0" wrapText="1"/>
    </xf>
    <xf borderId="6" fillId="0" fontId="19" numFmtId="0" xfId="0" applyBorder="1" applyFont="1"/>
    <xf borderId="26" fillId="0" fontId="24" numFmtId="0" xfId="0" applyAlignment="1" applyBorder="1" applyFont="1">
      <alignment horizontal="center"/>
    </xf>
    <xf borderId="19" fillId="2" fontId="16" numFmtId="0" xfId="0" applyAlignment="1" applyBorder="1" applyFont="1">
      <alignment horizontal="center"/>
    </xf>
    <xf borderId="6" fillId="0" fontId="19" numFmtId="0" xfId="0" applyAlignment="1" applyBorder="1" applyFont="1">
      <alignment horizontal="center"/>
    </xf>
    <xf borderId="26" fillId="0" fontId="22" numFmtId="0" xfId="0" applyAlignment="1" applyBorder="1" applyFont="1">
      <alignment horizontal="center"/>
    </xf>
    <xf borderId="26" fillId="0" fontId="25" numFmtId="0" xfId="0" applyAlignment="1" applyBorder="1" applyFont="1">
      <alignment horizontal="center" shrinkToFit="0" wrapText="1"/>
    </xf>
    <xf borderId="26" fillId="0" fontId="26" numFmtId="0" xfId="0" applyAlignment="1" applyBorder="1" applyFont="1">
      <alignment horizontal="right" shrinkToFit="0" wrapText="1"/>
    </xf>
    <xf borderId="26" fillId="0" fontId="1" numFmtId="0" xfId="0" applyBorder="1" applyFont="1"/>
    <xf borderId="26" fillId="0" fontId="27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center" vertical="center"/>
    </xf>
    <xf borderId="26" fillId="0" fontId="24" numFmtId="0" xfId="0" applyAlignment="1" applyBorder="1" applyFont="1">
      <alignment horizontal="center" shrinkToFit="0" wrapText="1"/>
    </xf>
    <xf borderId="26" fillId="0" fontId="15" numFmtId="0" xfId="0" applyAlignment="1" applyBorder="1" applyFont="1">
      <alignment horizontal="left" shrinkToFit="0" vertical="center" wrapText="1"/>
    </xf>
    <xf borderId="26" fillId="0" fontId="26" numFmtId="0" xfId="0" applyAlignment="1" applyBorder="1" applyFont="1">
      <alignment horizontal="right"/>
    </xf>
    <xf borderId="26" fillId="0" fontId="17" numFmtId="0" xfId="0" applyAlignment="1" applyBorder="1" applyFont="1">
      <alignment horizontal="left" shrinkToFit="0" vertical="top" wrapText="1"/>
    </xf>
    <xf borderId="26" fillId="0" fontId="18" numFmtId="0" xfId="0" applyAlignment="1" applyBorder="1" applyFont="1">
      <alignment horizontal="center" readingOrder="0" shrinkToFit="0" wrapText="1"/>
    </xf>
    <xf borderId="26" fillId="0" fontId="28" numFmtId="0" xfId="0" applyAlignment="1" applyBorder="1" applyFont="1">
      <alignment horizontal="center" shrinkToFit="0" vertical="center" wrapText="1"/>
    </xf>
    <xf borderId="26" fillId="0" fontId="19" numFmtId="0" xfId="0" applyBorder="1" applyFont="1"/>
    <xf borderId="26" fillId="0" fontId="19" numFmtId="0" xfId="0" applyAlignment="1" applyBorder="1" applyFont="1">
      <alignment horizontal="center" vertical="center"/>
    </xf>
    <xf borderId="26" fillId="0" fontId="26" numFmtId="0" xfId="0" applyAlignment="1" applyBorder="1" applyFont="1">
      <alignment horizontal="center"/>
    </xf>
    <xf borderId="26" fillId="0" fontId="29" numFmtId="0" xfId="0" applyAlignment="1" applyBorder="1" applyFont="1">
      <alignment shrinkToFit="0" vertical="top" wrapText="1"/>
    </xf>
    <xf borderId="26" fillId="0" fontId="29" numFmtId="0" xfId="0" applyAlignment="1" applyBorder="1" applyFont="1">
      <alignment horizontal="left" shrinkToFit="0" vertical="center" wrapText="1"/>
    </xf>
    <xf borderId="26" fillId="0" fontId="30" numFmtId="0" xfId="0" applyAlignment="1" applyBorder="1" applyFont="1">
      <alignment horizontal="left" shrinkToFit="0" vertical="center" wrapText="1"/>
    </xf>
    <xf borderId="26" fillId="0" fontId="27" numFmtId="0" xfId="0" applyAlignment="1" applyBorder="1" applyFont="1">
      <alignment horizontal="center"/>
    </xf>
    <xf borderId="26" fillId="0" fontId="31" numFmtId="0" xfId="0" applyAlignment="1" applyBorder="1" applyFont="1">
      <alignment horizontal="right"/>
    </xf>
    <xf borderId="26" fillId="0" fontId="32" numFmtId="0" xfId="0" applyAlignment="1" applyBorder="1" applyFont="1">
      <alignment horizontal="left" shrinkToFit="0" vertical="center" wrapText="1"/>
    </xf>
    <xf borderId="26" fillId="0" fontId="14" numFmtId="0" xfId="0" applyAlignment="1" applyBorder="1" applyFont="1">
      <alignment horizontal="center"/>
    </xf>
    <xf borderId="26" fillId="0" fontId="25" numFmtId="0" xfId="0" applyAlignment="1" applyBorder="1" applyFont="1">
      <alignment horizontal="center"/>
    </xf>
    <xf borderId="26" fillId="0" fontId="20" numFmtId="0" xfId="0" applyAlignment="1" applyBorder="1" applyFont="1">
      <alignment horizontal="center" shrinkToFit="0" vertical="top" wrapText="1"/>
    </xf>
    <xf borderId="26" fillId="0" fontId="29" numFmtId="0" xfId="0" applyAlignment="1" applyBorder="1" applyFont="1">
      <alignment shrinkToFit="0" wrapText="1"/>
    </xf>
    <xf borderId="26" fillId="0" fontId="13" numFmtId="0" xfId="0" applyAlignment="1" applyBorder="1" applyFont="1">
      <alignment horizontal="left" shrinkToFit="0" vertical="center" wrapText="1"/>
    </xf>
    <xf borderId="19" fillId="0" fontId="26" numFmtId="0" xfId="0" applyAlignment="1" applyBorder="1" applyFont="1">
      <alignment horizontal="center"/>
    </xf>
    <xf borderId="19" fillId="0" fontId="25" numFmtId="0" xfId="0" applyAlignment="1" applyBorder="1" applyFont="1">
      <alignment horizontal="center"/>
    </xf>
    <xf borderId="40" fillId="0" fontId="19" numFmtId="0" xfId="0" applyBorder="1" applyFont="1"/>
    <xf borderId="40" fillId="0" fontId="33" numFmtId="0" xfId="0" applyBorder="1" applyFont="1"/>
    <xf borderId="19" fillId="4" fontId="33" numFmtId="0" xfId="0" applyAlignment="1" applyBorder="1" applyFill="1" applyFont="1">
      <alignment horizontal="center"/>
    </xf>
    <xf borderId="39" fillId="0" fontId="34" numFmtId="0" xfId="0" applyBorder="1" applyFont="1"/>
    <xf borderId="11" fillId="0" fontId="34" numFmtId="0" xfId="0" applyBorder="1" applyFont="1"/>
    <xf borderId="43" fillId="0" fontId="35" numFmtId="0" xfId="0" applyAlignment="1" applyBorder="1" applyFont="1">
      <alignment horizontal="left" vertical="center"/>
    </xf>
    <xf borderId="44" fillId="0" fontId="3" numFmtId="0" xfId="0" applyBorder="1" applyFont="1"/>
    <xf borderId="45" fillId="0" fontId="3" numFmtId="0" xfId="0" applyBorder="1" applyFont="1"/>
    <xf borderId="46" fillId="0" fontId="12" numFmtId="0" xfId="0" applyAlignment="1" applyBorder="1" applyFont="1">
      <alignment horizontal="center" vertical="center"/>
    </xf>
    <xf borderId="47" fillId="0" fontId="3" numFmtId="0" xfId="0" applyBorder="1" applyFont="1"/>
    <xf borderId="41" fillId="0" fontId="12" numFmtId="0" xfId="0" applyAlignment="1" applyBorder="1" applyFont="1">
      <alignment horizontal="center"/>
    </xf>
    <xf borderId="46" fillId="0" fontId="12" numFmtId="0" xfId="0" applyBorder="1" applyFont="1"/>
    <xf borderId="48" fillId="0" fontId="3" numFmtId="0" xfId="0" applyBorder="1" applyFont="1"/>
    <xf borderId="41" fillId="0" fontId="12" numFmtId="0" xfId="0" applyBorder="1" applyFont="1"/>
    <xf borderId="42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left" shrinkToFit="0" vertical="center" wrapText="1"/>
    </xf>
    <xf borderId="7" fillId="0" fontId="13" numFmtId="9" xfId="0" applyAlignment="1" applyBorder="1" applyFont="1" applyNumberFormat="1">
      <alignment horizontal="center"/>
    </xf>
    <xf borderId="32" fillId="0" fontId="14" numFmtId="0" xfId="0" applyAlignment="1" applyBorder="1" applyFont="1">
      <alignment horizontal="center"/>
    </xf>
    <xf borderId="7" fillId="0" fontId="13" numFmtId="0" xfId="0" applyBorder="1" applyFont="1"/>
    <xf borderId="31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/>
    </xf>
    <xf borderId="49" fillId="0" fontId="13" numFmtId="0" xfId="0" applyAlignment="1" applyBorder="1" applyFont="1">
      <alignment horizontal="left" shrinkToFit="0" wrapText="1"/>
    </xf>
    <xf borderId="50" fillId="0" fontId="13" numFmtId="0" xfId="0" applyAlignment="1" applyBorder="1" applyFont="1">
      <alignment horizontal="left" readingOrder="0" shrinkToFit="0" wrapText="1"/>
    </xf>
    <xf borderId="51" fillId="0" fontId="13" numFmtId="0" xfId="0" applyAlignment="1" applyBorder="1" applyFont="1">
      <alignment horizontal="center" readingOrder="0"/>
    </xf>
    <xf borderId="20" fillId="0" fontId="34" numFmtId="0" xfId="0" applyBorder="1" applyFont="1"/>
    <xf borderId="22" fillId="0" fontId="36" numFmtId="0" xfId="0" applyAlignment="1" applyBorder="1" applyFont="1">
      <alignment horizontal="center" vertical="center"/>
    </xf>
    <xf borderId="24" fillId="0" fontId="13" numFmtId="0" xfId="0" applyBorder="1" applyFont="1"/>
    <xf borderId="36" fillId="0" fontId="13" numFmtId="0" xfId="0" applyBorder="1" applyFont="1"/>
    <xf borderId="49" fillId="0" fontId="34" numFmtId="0" xfId="0" applyAlignment="1" applyBorder="1" applyFont="1">
      <alignment horizontal="center"/>
    </xf>
    <xf borderId="49" fillId="0" fontId="37" numFmtId="0" xfId="0" applyAlignment="1" applyBorder="1" applyFont="1">
      <alignment horizontal="center"/>
    </xf>
    <xf borderId="33" fillId="0" fontId="38" numFmtId="0" xfId="0" applyBorder="1" applyFont="1"/>
    <xf borderId="50" fillId="0" fontId="38" numFmtId="0" xfId="0" applyBorder="1" applyFont="1"/>
    <xf borderId="49" fillId="0" fontId="39" numFmtId="0" xfId="0" applyAlignment="1" applyBorder="1" applyFont="1">
      <alignment horizontal="center"/>
    </xf>
    <xf borderId="14" fillId="0" fontId="40" numFmtId="0" xfId="0" applyBorder="1" applyFont="1"/>
    <xf borderId="9" fillId="0" fontId="38" numFmtId="0" xfId="0" applyBorder="1" applyFont="1"/>
    <xf borderId="50" fillId="0" fontId="3" numFmtId="0" xfId="0" applyBorder="1" applyFont="1"/>
    <xf borderId="14" fillId="5" fontId="8" numFmtId="0" xfId="0" applyAlignment="1" applyBorder="1" applyFill="1" applyFont="1">
      <alignment horizontal="center"/>
    </xf>
    <xf borderId="14" fillId="0" fontId="8" numFmtId="0" xfId="0" applyBorder="1" applyFont="1"/>
    <xf borderId="51" fillId="0" fontId="8" numFmtId="0" xfId="0" applyBorder="1" applyFont="1"/>
    <xf borderId="14" fillId="0" fontId="40" numFmtId="0" xfId="0" applyAlignment="1" applyBorder="1" applyFont="1">
      <alignment horizontal="center" vertical="top"/>
    </xf>
    <xf borderId="51" fillId="0" fontId="40" numFmtId="0" xfId="0" applyAlignment="1" applyBorder="1" applyFont="1">
      <alignment horizontal="center" vertical="top"/>
    </xf>
    <xf borderId="49" fillId="0" fontId="3" numFmtId="0" xfId="0" applyBorder="1" applyFont="1"/>
    <xf borderId="22" fillId="0" fontId="40" numFmtId="0" xfId="0" applyAlignment="1" applyBorder="1" applyFont="1">
      <alignment horizontal="center" vertical="top"/>
    </xf>
    <xf borderId="52" fillId="0" fontId="3" numFmtId="0" xfId="0" applyBorder="1" applyFont="1"/>
    <xf borderId="53" fillId="0" fontId="3" numFmtId="0" xfId="0" applyBorder="1" applyFont="1"/>
    <xf borderId="37" fillId="0" fontId="8" numFmtId="0" xfId="0" applyAlignment="1" applyBorder="1" applyFont="1">
      <alignment horizontal="center" vertical="top"/>
    </xf>
    <xf borderId="22" fillId="0" fontId="8" numFmtId="0" xfId="0" applyAlignment="1" applyBorder="1" applyFont="1">
      <alignment horizontal="center" vertical="top"/>
    </xf>
    <xf borderId="22" fillId="5" fontId="8" numFmtId="0" xfId="0" applyAlignment="1" applyBorder="1" applyFont="1">
      <alignment horizontal="center"/>
    </xf>
    <xf borderId="0" fillId="0" fontId="10" numFmtId="0" xfId="0" applyAlignment="1" applyFont="1">
      <alignment horizontal="center" vertical="top"/>
    </xf>
    <xf borderId="0" fillId="0" fontId="4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5905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7.88"/>
    <col customWidth="1" min="3" max="3" width="59.0"/>
    <col customWidth="1" min="4" max="4" width="12.63"/>
    <col customWidth="1" min="5" max="5" width="8.0"/>
    <col customWidth="1" min="6" max="8" width="12.63"/>
    <col customWidth="1" min="9" max="9" width="33.63"/>
    <col customWidth="1" min="10" max="26" width="8.63"/>
  </cols>
  <sheetData>
    <row r="1" ht="40.5" customHeight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 ht="68.25" customHeight="1">
      <c r="A2" s="6"/>
      <c r="B2" s="7"/>
      <c r="C2" s="8" t="s">
        <v>1</v>
      </c>
      <c r="D2" s="9"/>
      <c r="E2" s="9"/>
      <c r="F2" s="9"/>
      <c r="G2" s="9"/>
      <c r="H2" s="9"/>
      <c r="I2" s="10"/>
    </row>
    <row r="3" ht="16.5" customHeight="1">
      <c r="A3" s="11"/>
      <c r="B3" s="12" t="s">
        <v>2</v>
      </c>
      <c r="C3" s="13"/>
      <c r="D3" s="13"/>
      <c r="E3" s="13"/>
      <c r="F3" s="13"/>
      <c r="G3" s="13"/>
      <c r="H3" s="13"/>
      <c r="I3" s="14"/>
    </row>
    <row r="4" ht="15.75" customHeight="1">
      <c r="A4" s="15"/>
      <c r="B4" s="16" t="s">
        <v>3</v>
      </c>
      <c r="C4" s="17" t="s">
        <v>4</v>
      </c>
      <c r="D4" s="18"/>
      <c r="E4" s="19"/>
      <c r="F4" s="20" t="s">
        <v>5</v>
      </c>
      <c r="G4" s="21"/>
      <c r="H4" s="22" t="s">
        <v>6</v>
      </c>
      <c r="I4" s="5"/>
    </row>
    <row r="5" ht="15.75" customHeight="1">
      <c r="A5" s="23"/>
      <c r="B5" s="11" t="s">
        <v>7</v>
      </c>
      <c r="C5" s="24" t="s">
        <v>8</v>
      </c>
      <c r="D5" s="18"/>
      <c r="E5" s="19"/>
      <c r="F5" s="15" t="s">
        <v>9</v>
      </c>
      <c r="G5" s="25"/>
      <c r="H5" s="26" t="s">
        <v>10</v>
      </c>
      <c r="I5" s="10"/>
    </row>
    <row r="6" ht="15.75" customHeight="1">
      <c r="A6" s="27"/>
      <c r="B6" s="27" t="s">
        <v>11</v>
      </c>
      <c r="C6" s="10"/>
      <c r="D6" s="18"/>
      <c r="E6" s="19"/>
      <c r="F6" s="15" t="s">
        <v>12</v>
      </c>
      <c r="G6" s="25"/>
      <c r="H6" s="28" t="s">
        <v>6</v>
      </c>
      <c r="I6" s="10"/>
    </row>
    <row r="7" ht="15.75" customHeight="1">
      <c r="A7" s="15"/>
      <c r="B7" s="29" t="s">
        <v>13</v>
      </c>
      <c r="C7" s="30">
        <v>46044.0</v>
      </c>
      <c r="D7" s="18"/>
      <c r="E7" s="19"/>
      <c r="F7" s="31" t="s">
        <v>14</v>
      </c>
      <c r="G7" s="32"/>
      <c r="H7" s="33" t="s">
        <v>15</v>
      </c>
      <c r="I7" s="34"/>
    </row>
    <row r="8" ht="15.75" customHeight="1">
      <c r="A8" s="35"/>
      <c r="B8" s="36"/>
      <c r="C8" s="36"/>
      <c r="D8" s="37"/>
      <c r="E8" s="37"/>
      <c r="F8" s="38"/>
      <c r="G8" s="39"/>
      <c r="H8" s="40"/>
      <c r="I8" s="41"/>
    </row>
    <row r="9" ht="15.75" customHeight="1">
      <c r="A9" s="27"/>
      <c r="B9" s="42" t="s">
        <v>16</v>
      </c>
      <c r="C9" s="5"/>
      <c r="D9" s="18"/>
      <c r="E9" s="19"/>
      <c r="F9" s="42" t="s">
        <v>17</v>
      </c>
      <c r="G9" s="4"/>
      <c r="H9" s="4"/>
      <c r="I9" s="5"/>
    </row>
    <row r="10" ht="15.75" customHeight="1">
      <c r="A10" s="23"/>
      <c r="B10" s="11" t="s">
        <v>18</v>
      </c>
      <c r="C10" s="43" t="s">
        <v>19</v>
      </c>
      <c r="D10" s="18"/>
      <c r="E10" s="19"/>
      <c r="F10" s="11" t="s">
        <v>18</v>
      </c>
      <c r="G10" s="44" t="s">
        <v>20</v>
      </c>
      <c r="H10" s="9"/>
      <c r="I10" s="10"/>
    </row>
    <row r="11" ht="15.75" customHeight="1">
      <c r="A11" s="23"/>
      <c r="B11" s="11" t="s">
        <v>21</v>
      </c>
      <c r="C11" s="45" t="s">
        <v>22</v>
      </c>
      <c r="D11" s="18"/>
      <c r="E11" s="19"/>
      <c r="F11" s="11" t="s">
        <v>21</v>
      </c>
      <c r="G11" s="46" t="s">
        <v>23</v>
      </c>
      <c r="H11" s="13"/>
      <c r="I11" s="14"/>
    </row>
    <row r="12" ht="36.0" customHeight="1">
      <c r="A12" s="23"/>
      <c r="B12" s="11"/>
      <c r="C12" s="47"/>
      <c r="D12" s="18"/>
      <c r="E12" s="19"/>
      <c r="F12" s="11"/>
      <c r="G12" s="48"/>
      <c r="H12" s="49"/>
      <c r="I12" s="50"/>
    </row>
    <row r="13" ht="15.75" customHeight="1">
      <c r="A13" s="23"/>
      <c r="B13" s="11" t="s">
        <v>24</v>
      </c>
      <c r="C13" s="51" t="s">
        <v>25</v>
      </c>
      <c r="D13" s="52"/>
      <c r="E13" s="53"/>
      <c r="F13" s="54" t="s">
        <v>24</v>
      </c>
      <c r="G13" s="55" t="s">
        <v>25</v>
      </c>
      <c r="H13" s="9"/>
      <c r="I13" s="10"/>
    </row>
    <row r="14" ht="15.75" customHeight="1">
      <c r="A14" s="23"/>
      <c r="B14" s="11" t="s">
        <v>26</v>
      </c>
      <c r="C14" s="56" t="s">
        <v>27</v>
      </c>
      <c r="D14" s="18"/>
      <c r="E14" s="19"/>
      <c r="F14" s="11" t="s">
        <v>26</v>
      </c>
      <c r="G14" s="57" t="s">
        <v>27</v>
      </c>
      <c r="H14" s="9"/>
      <c r="I14" s="10"/>
    </row>
    <row r="15" ht="25.5" customHeight="1">
      <c r="A15" s="23"/>
      <c r="B15" s="58" t="s">
        <v>28</v>
      </c>
      <c r="C15" s="59" t="s">
        <v>29</v>
      </c>
      <c r="D15" s="60"/>
      <c r="E15" s="61"/>
      <c r="F15" s="58" t="s">
        <v>28</v>
      </c>
      <c r="G15" s="62" t="s">
        <v>29</v>
      </c>
      <c r="H15" s="63"/>
      <c r="I15" s="64"/>
    </row>
    <row r="16" ht="15.75" customHeight="1">
      <c r="A16" s="35"/>
      <c r="B16" s="65" t="s">
        <v>30</v>
      </c>
      <c r="C16" s="66"/>
      <c r="D16" s="67"/>
      <c r="E16" s="67"/>
      <c r="F16" s="67"/>
      <c r="G16" s="67"/>
      <c r="H16" s="67"/>
      <c r="I16" s="68"/>
    </row>
    <row r="17" ht="15.75" customHeight="1">
      <c r="A17" s="69"/>
      <c r="B17" s="70"/>
      <c r="C17" s="70"/>
      <c r="D17" s="70"/>
      <c r="E17" s="70"/>
      <c r="F17" s="70"/>
      <c r="G17" s="70"/>
      <c r="H17" s="70"/>
      <c r="I17" s="71"/>
    </row>
    <row r="18" ht="15.75" customHeight="1">
      <c r="A18" s="72" t="s">
        <v>31</v>
      </c>
      <c r="B18" s="73" t="s">
        <v>32</v>
      </c>
      <c r="C18" s="73" t="s">
        <v>33</v>
      </c>
      <c r="D18" s="72" t="s">
        <v>34</v>
      </c>
      <c r="E18" s="72" t="s">
        <v>35</v>
      </c>
      <c r="F18" s="74" t="s">
        <v>36</v>
      </c>
      <c r="G18" s="74" t="s">
        <v>37</v>
      </c>
      <c r="H18" s="74" t="s">
        <v>38</v>
      </c>
      <c r="I18" s="74" t="s">
        <v>39</v>
      </c>
    </row>
    <row r="19" ht="43.5" customHeight="1">
      <c r="A19" s="75" t="s">
        <v>40</v>
      </c>
      <c r="B19" s="76" t="s">
        <v>41</v>
      </c>
      <c r="C19" s="77"/>
      <c r="D19" s="78"/>
      <c r="E19" s="78"/>
      <c r="F19" s="78"/>
      <c r="G19" s="79"/>
      <c r="H19" s="78"/>
      <c r="I19" s="80"/>
    </row>
    <row r="20" ht="21.75" customHeight="1">
      <c r="A20" s="6"/>
      <c r="B20" s="81">
        <v>1.0</v>
      </c>
      <c r="C20" s="82" t="s">
        <v>42</v>
      </c>
      <c r="D20" s="83">
        <v>940310.0</v>
      </c>
      <c r="E20" s="84">
        <v>0.18</v>
      </c>
      <c r="F20" s="85" t="s">
        <v>43</v>
      </c>
      <c r="G20" s="85">
        <v>4807.0</v>
      </c>
      <c r="H20" s="86">
        <v>35.0</v>
      </c>
      <c r="I20" s="87">
        <f t="shared" ref="I20:I24" si="1">H20*G20</f>
        <v>168245</v>
      </c>
    </row>
    <row r="21" ht="21.75" customHeight="1">
      <c r="A21" s="6"/>
      <c r="B21" s="81">
        <v>2.0</v>
      </c>
      <c r="C21" s="82" t="s">
        <v>44</v>
      </c>
      <c r="D21" s="83">
        <v>940310.0</v>
      </c>
      <c r="E21" s="84">
        <v>0.18</v>
      </c>
      <c r="F21" s="85" t="s">
        <v>43</v>
      </c>
      <c r="G21" s="85">
        <v>6010.0</v>
      </c>
      <c r="H21" s="86">
        <v>1.0</v>
      </c>
      <c r="I21" s="87">
        <f t="shared" si="1"/>
        <v>6010</v>
      </c>
    </row>
    <row r="22" ht="22.5" customHeight="1">
      <c r="A22" s="6"/>
      <c r="B22" s="83">
        <v>3.0</v>
      </c>
      <c r="C22" s="82" t="s">
        <v>45</v>
      </c>
      <c r="D22" s="83">
        <v>940310.0</v>
      </c>
      <c r="E22" s="84">
        <v>0.18</v>
      </c>
      <c r="F22" s="85" t="s">
        <v>43</v>
      </c>
      <c r="G22" s="85">
        <v>9361.0</v>
      </c>
      <c r="H22" s="86">
        <v>1.0</v>
      </c>
      <c r="I22" s="87">
        <f t="shared" si="1"/>
        <v>9361</v>
      </c>
    </row>
    <row r="23" ht="22.5" customHeight="1">
      <c r="A23" s="6"/>
      <c r="B23" s="83">
        <v>4.0</v>
      </c>
      <c r="C23" s="82" t="s">
        <v>46</v>
      </c>
      <c r="D23" s="83">
        <v>940310.0</v>
      </c>
      <c r="E23" s="84">
        <v>0.18</v>
      </c>
      <c r="F23" s="85" t="s">
        <v>43</v>
      </c>
      <c r="G23" s="85">
        <v>9361.0</v>
      </c>
      <c r="H23" s="86">
        <v>2.0</v>
      </c>
      <c r="I23" s="87">
        <f t="shared" si="1"/>
        <v>18722</v>
      </c>
    </row>
    <row r="24" ht="19.5" customHeight="1">
      <c r="A24" s="6"/>
      <c r="B24" s="83">
        <v>5.0</v>
      </c>
      <c r="C24" s="82" t="s">
        <v>47</v>
      </c>
      <c r="D24" s="83">
        <v>940310.0</v>
      </c>
      <c r="E24" s="84">
        <v>0.18</v>
      </c>
      <c r="F24" s="85" t="s">
        <v>48</v>
      </c>
      <c r="G24" s="85">
        <v>419.0</v>
      </c>
      <c r="H24" s="86">
        <v>512.0</v>
      </c>
      <c r="I24" s="87">
        <f t="shared" si="1"/>
        <v>214528</v>
      </c>
    </row>
    <row r="25" ht="15.75" customHeight="1">
      <c r="A25" s="6"/>
      <c r="B25" s="83">
        <v>6.0</v>
      </c>
      <c r="C25" s="82" t="s">
        <v>49</v>
      </c>
      <c r="D25" s="83">
        <v>940310.0</v>
      </c>
      <c r="E25" s="84">
        <v>0.18</v>
      </c>
      <c r="F25" s="85" t="s">
        <v>48</v>
      </c>
      <c r="G25" s="85">
        <v>823.0</v>
      </c>
      <c r="H25" s="86">
        <v>128.0</v>
      </c>
      <c r="I25" s="87">
        <f t="shared" ref="I25:I26" si="2">G25*H25</f>
        <v>105344</v>
      </c>
    </row>
    <row r="26" ht="15.75" customHeight="1">
      <c r="A26" s="6"/>
      <c r="B26" s="83">
        <v>7.0</v>
      </c>
      <c r="C26" s="82" t="s">
        <v>50</v>
      </c>
      <c r="D26" s="83">
        <v>998391.0</v>
      </c>
      <c r="E26" s="84">
        <v>0.18</v>
      </c>
      <c r="F26" s="85" t="s">
        <v>43</v>
      </c>
      <c r="G26" s="85">
        <v>4048.0</v>
      </c>
      <c r="H26" s="85">
        <v>39.0</v>
      </c>
      <c r="I26" s="87">
        <f t="shared" si="2"/>
        <v>157872</v>
      </c>
    </row>
    <row r="27" ht="15.75" customHeight="1">
      <c r="A27" s="6"/>
      <c r="B27" s="83">
        <v>8.0</v>
      </c>
      <c r="C27" s="88" t="s">
        <v>51</v>
      </c>
      <c r="D27" s="83">
        <v>940310.0</v>
      </c>
      <c r="E27" s="84">
        <v>0.18</v>
      </c>
      <c r="F27" s="85" t="s">
        <v>43</v>
      </c>
      <c r="G27" s="85">
        <v>8223.0</v>
      </c>
      <c r="H27" s="85">
        <v>1.0</v>
      </c>
      <c r="I27" s="87">
        <f>H27*G27</f>
        <v>8223</v>
      </c>
    </row>
    <row r="28" ht="15.75" customHeight="1">
      <c r="A28" s="6"/>
      <c r="B28" s="83">
        <v>9.0</v>
      </c>
      <c r="C28" s="88" t="s">
        <v>52</v>
      </c>
      <c r="D28" s="83">
        <v>940310.0</v>
      </c>
      <c r="E28" s="84">
        <v>0.18</v>
      </c>
      <c r="F28" s="85" t="s">
        <v>43</v>
      </c>
      <c r="G28" s="85">
        <v>22770.0</v>
      </c>
      <c r="H28" s="85">
        <v>1.0</v>
      </c>
      <c r="I28" s="87">
        <f>G28*H28</f>
        <v>22770</v>
      </c>
    </row>
    <row r="29" ht="15.75" customHeight="1">
      <c r="A29" s="6"/>
      <c r="B29" s="83">
        <v>10.0</v>
      </c>
      <c r="C29" s="88" t="s">
        <v>53</v>
      </c>
      <c r="D29" s="83">
        <v>940310.0</v>
      </c>
      <c r="E29" s="84">
        <v>0.18</v>
      </c>
      <c r="F29" s="89" t="s">
        <v>54</v>
      </c>
      <c r="G29" s="85">
        <v>949.0</v>
      </c>
      <c r="H29" s="85">
        <v>12.0</v>
      </c>
      <c r="I29" s="87">
        <f>H29*G29</f>
        <v>11388</v>
      </c>
    </row>
    <row r="30" ht="27.0" customHeight="1">
      <c r="A30" s="90">
        <v>2.0</v>
      </c>
      <c r="B30" s="91" t="s">
        <v>55</v>
      </c>
      <c r="C30" s="92"/>
      <c r="D30" s="83"/>
      <c r="E30" s="84"/>
      <c r="F30" s="85"/>
      <c r="G30" s="85"/>
      <c r="H30" s="85"/>
      <c r="I30" s="87"/>
    </row>
    <row r="31" ht="27.0" customHeight="1">
      <c r="A31" s="90"/>
      <c r="B31" s="91"/>
      <c r="C31" s="92" t="s">
        <v>56</v>
      </c>
      <c r="D31" s="83">
        <v>940310.0</v>
      </c>
      <c r="E31" s="84">
        <v>0.18</v>
      </c>
      <c r="F31" s="85" t="s">
        <v>48</v>
      </c>
      <c r="G31" s="85">
        <v>152.0</v>
      </c>
      <c r="H31" s="85">
        <v>477.0</v>
      </c>
      <c r="I31" s="87">
        <f>G31*H31</f>
        <v>72504</v>
      </c>
    </row>
    <row r="32" ht="15.75" customHeight="1">
      <c r="A32" s="6"/>
      <c r="B32" s="83">
        <v>1.0</v>
      </c>
      <c r="C32" s="93" t="s">
        <v>57</v>
      </c>
      <c r="D32" s="83">
        <v>940310.0</v>
      </c>
      <c r="E32" s="84">
        <v>0.18</v>
      </c>
      <c r="F32" s="85" t="s">
        <v>48</v>
      </c>
      <c r="G32" s="94">
        <v>354.0</v>
      </c>
      <c r="H32" s="85">
        <v>737.52</v>
      </c>
      <c r="I32" s="87">
        <f t="shared" ref="I32:I33" si="3">H32*G32</f>
        <v>261082.08</v>
      </c>
    </row>
    <row r="33" ht="15.75" customHeight="1">
      <c r="A33" s="6"/>
      <c r="B33" s="83">
        <v>3.0</v>
      </c>
      <c r="C33" s="93" t="s">
        <v>58</v>
      </c>
      <c r="D33" s="83">
        <v>940310.0</v>
      </c>
      <c r="E33" s="84">
        <v>0.18</v>
      </c>
      <c r="F33" s="95" t="s">
        <v>48</v>
      </c>
      <c r="G33" s="96">
        <v>354.0</v>
      </c>
      <c r="H33" s="95">
        <v>210.2</v>
      </c>
      <c r="I33" s="87">
        <f t="shared" si="3"/>
        <v>74410.8</v>
      </c>
    </row>
    <row r="34" ht="15.75" customHeight="1">
      <c r="A34" s="6"/>
      <c r="B34" s="83">
        <v>4.0</v>
      </c>
      <c r="C34" s="93" t="s">
        <v>59</v>
      </c>
      <c r="D34" s="83"/>
      <c r="E34" s="84"/>
      <c r="F34" s="95"/>
      <c r="G34" s="96"/>
      <c r="H34" s="95"/>
      <c r="I34" s="87"/>
    </row>
    <row r="35" ht="15.75" customHeight="1">
      <c r="A35" s="90"/>
      <c r="B35" s="97" t="s">
        <v>60</v>
      </c>
      <c r="C35" s="93" t="s">
        <v>61</v>
      </c>
      <c r="D35" s="83">
        <v>940310.0</v>
      </c>
      <c r="E35" s="84">
        <v>0.18</v>
      </c>
      <c r="F35" s="95" t="s">
        <v>43</v>
      </c>
      <c r="G35" s="96">
        <v>14168.0</v>
      </c>
      <c r="H35" s="95">
        <v>1.0</v>
      </c>
      <c r="I35" s="87">
        <f t="shared" ref="I35:I43" si="4">H35*G35</f>
        <v>14168</v>
      </c>
    </row>
    <row r="36" ht="15.75" customHeight="1">
      <c r="A36" s="98"/>
      <c r="B36" s="99" t="s">
        <v>62</v>
      </c>
      <c r="C36" s="93" t="s">
        <v>63</v>
      </c>
      <c r="D36" s="83">
        <v>940310.0</v>
      </c>
      <c r="E36" s="84">
        <v>0.18</v>
      </c>
      <c r="F36" s="85" t="s">
        <v>43</v>
      </c>
      <c r="G36" s="85">
        <v>13283.0</v>
      </c>
      <c r="H36" s="85">
        <v>6.0</v>
      </c>
      <c r="I36" s="100">
        <f t="shared" si="4"/>
        <v>79698</v>
      </c>
    </row>
    <row r="37" ht="15.75" customHeight="1">
      <c r="A37" s="98"/>
      <c r="B37" s="99">
        <v>5.0</v>
      </c>
      <c r="C37" s="93" t="s">
        <v>64</v>
      </c>
      <c r="D37" s="83">
        <v>721669.0</v>
      </c>
      <c r="E37" s="84">
        <v>0.18</v>
      </c>
      <c r="F37" s="95" t="s">
        <v>48</v>
      </c>
      <c r="G37" s="85">
        <v>76.0</v>
      </c>
      <c r="H37" s="85">
        <v>1008.0</v>
      </c>
      <c r="I37" s="87">
        <f t="shared" si="4"/>
        <v>76608</v>
      </c>
    </row>
    <row r="38" ht="15.75" customHeight="1">
      <c r="A38" s="98"/>
      <c r="B38" s="99">
        <v>6.0</v>
      </c>
      <c r="C38" s="93" t="s">
        <v>65</v>
      </c>
      <c r="D38" s="83">
        <v>730890.0</v>
      </c>
      <c r="E38" s="84">
        <v>0.18</v>
      </c>
      <c r="F38" s="95" t="s">
        <v>48</v>
      </c>
      <c r="G38" s="85">
        <v>108.0</v>
      </c>
      <c r="H38" s="85">
        <v>1366.0</v>
      </c>
      <c r="I38" s="87">
        <f t="shared" si="4"/>
        <v>147528</v>
      </c>
    </row>
    <row r="39" ht="15.75" customHeight="1">
      <c r="A39" s="101"/>
      <c r="B39" s="85">
        <v>7.0</v>
      </c>
      <c r="C39" s="93" t="s">
        <v>66</v>
      </c>
      <c r="D39" s="83">
        <v>320910.0</v>
      </c>
      <c r="E39" s="84">
        <v>0.18</v>
      </c>
      <c r="F39" s="102" t="s">
        <v>48</v>
      </c>
      <c r="G39" s="102">
        <v>20.0</v>
      </c>
      <c r="H39" s="102">
        <v>7349.0</v>
      </c>
      <c r="I39" s="87">
        <f t="shared" si="4"/>
        <v>146980</v>
      </c>
    </row>
    <row r="40" ht="15.75" customHeight="1">
      <c r="A40" s="98"/>
      <c r="B40" s="85">
        <v>8.0</v>
      </c>
      <c r="C40" s="93" t="s">
        <v>67</v>
      </c>
      <c r="D40" s="83">
        <v>940310.0</v>
      </c>
      <c r="E40" s="84">
        <v>0.18</v>
      </c>
      <c r="F40" s="102" t="s">
        <v>48</v>
      </c>
      <c r="G40" s="102">
        <v>348.0</v>
      </c>
      <c r="H40" s="102">
        <v>12.0</v>
      </c>
      <c r="I40" s="87">
        <f t="shared" si="4"/>
        <v>4176</v>
      </c>
    </row>
    <row r="41" ht="15.75" customHeight="1">
      <c r="A41" s="98"/>
      <c r="B41" s="85">
        <v>9.0</v>
      </c>
      <c r="C41" s="93" t="s">
        <v>68</v>
      </c>
      <c r="D41" s="83">
        <v>940310.0</v>
      </c>
      <c r="E41" s="84">
        <v>0.18</v>
      </c>
      <c r="F41" s="102" t="s">
        <v>48</v>
      </c>
      <c r="G41" s="102">
        <v>348.0</v>
      </c>
      <c r="H41" s="102">
        <v>36.0</v>
      </c>
      <c r="I41" s="87">
        <f t="shared" si="4"/>
        <v>12528</v>
      </c>
    </row>
    <row r="42" ht="15.75" customHeight="1">
      <c r="A42" s="98"/>
      <c r="B42" s="85">
        <v>10.0</v>
      </c>
      <c r="C42" s="93" t="s">
        <v>69</v>
      </c>
      <c r="D42" s="83">
        <v>940310.0</v>
      </c>
      <c r="E42" s="84">
        <v>0.18</v>
      </c>
      <c r="F42" s="102" t="s">
        <v>48</v>
      </c>
      <c r="G42" s="102">
        <v>132.0</v>
      </c>
      <c r="H42" s="102">
        <v>348.0</v>
      </c>
      <c r="I42" s="87">
        <f t="shared" si="4"/>
        <v>45936</v>
      </c>
    </row>
    <row r="43" ht="15.75" customHeight="1">
      <c r="A43" s="98"/>
      <c r="B43" s="85">
        <v>12.0</v>
      </c>
      <c r="C43" s="93" t="s">
        <v>70</v>
      </c>
      <c r="D43" s="83">
        <v>940310.0</v>
      </c>
      <c r="E43" s="84">
        <v>0.18</v>
      </c>
      <c r="F43" s="102" t="s">
        <v>48</v>
      </c>
      <c r="G43" s="102">
        <v>266.0</v>
      </c>
      <c r="H43" s="102">
        <v>731.0</v>
      </c>
      <c r="I43" s="87">
        <f t="shared" si="4"/>
        <v>194446</v>
      </c>
    </row>
    <row r="44" ht="36.0" customHeight="1">
      <c r="A44" s="101">
        <v>3.0</v>
      </c>
      <c r="B44" s="103" t="s">
        <v>71</v>
      </c>
      <c r="C44" s="82"/>
      <c r="D44" s="104"/>
      <c r="E44" s="84"/>
      <c r="F44" s="105"/>
      <c r="G44" s="105"/>
      <c r="H44" s="105"/>
      <c r="I44" s="87"/>
    </row>
    <row r="45" ht="15.75" customHeight="1">
      <c r="A45" s="101"/>
      <c r="B45" s="106">
        <v>1.0</v>
      </c>
      <c r="C45" s="82" t="s">
        <v>72</v>
      </c>
      <c r="D45" s="83">
        <v>850440.0</v>
      </c>
      <c r="E45" s="84">
        <v>0.18</v>
      </c>
      <c r="F45" s="102" t="s">
        <v>43</v>
      </c>
      <c r="G45" s="102">
        <v>506.0</v>
      </c>
      <c r="H45" s="102">
        <v>49.0</v>
      </c>
      <c r="I45" s="87">
        <f t="shared" ref="I45:I49" si="5">H45*G45</f>
        <v>24794</v>
      </c>
    </row>
    <row r="46" ht="15.75" customHeight="1">
      <c r="A46" s="101"/>
      <c r="B46" s="106">
        <v>2.0</v>
      </c>
      <c r="C46" s="82" t="s">
        <v>73</v>
      </c>
      <c r="D46" s="83">
        <v>850440.0</v>
      </c>
      <c r="E46" s="84">
        <v>0.18</v>
      </c>
      <c r="F46" s="102" t="s">
        <v>43</v>
      </c>
      <c r="G46" s="102">
        <v>633.0</v>
      </c>
      <c r="H46" s="102">
        <v>20.0</v>
      </c>
      <c r="I46" s="87">
        <f t="shared" si="5"/>
        <v>12660</v>
      </c>
    </row>
    <row r="47" ht="15.75" customHeight="1">
      <c r="A47" s="101"/>
      <c r="B47" s="106">
        <v>3.0</v>
      </c>
      <c r="C47" s="82" t="s">
        <v>74</v>
      </c>
      <c r="D47" s="83">
        <v>850440.0</v>
      </c>
      <c r="E47" s="84">
        <v>0.18</v>
      </c>
      <c r="F47" s="102" t="s">
        <v>43</v>
      </c>
      <c r="G47" s="102">
        <v>734.0</v>
      </c>
      <c r="H47" s="102">
        <v>6.0</v>
      </c>
      <c r="I47" s="87">
        <f t="shared" si="5"/>
        <v>4404</v>
      </c>
    </row>
    <row r="48" ht="15.75" customHeight="1">
      <c r="A48" s="101"/>
      <c r="B48" s="106">
        <v>4.0</v>
      </c>
      <c r="C48" s="82" t="s">
        <v>75</v>
      </c>
      <c r="D48" s="83">
        <v>850440.0</v>
      </c>
      <c r="E48" s="84">
        <v>0.18</v>
      </c>
      <c r="F48" s="102" t="s">
        <v>43</v>
      </c>
      <c r="G48" s="102">
        <v>633.0</v>
      </c>
      <c r="H48" s="102">
        <v>57.0</v>
      </c>
      <c r="I48" s="87">
        <f t="shared" si="5"/>
        <v>36081</v>
      </c>
    </row>
    <row r="49" ht="15.75" customHeight="1">
      <c r="A49" s="101"/>
      <c r="B49" s="106">
        <v>5.0</v>
      </c>
      <c r="C49" s="82" t="s">
        <v>76</v>
      </c>
      <c r="D49" s="83">
        <v>850440.0</v>
      </c>
      <c r="E49" s="84">
        <v>0.18</v>
      </c>
      <c r="F49" s="102" t="s">
        <v>43</v>
      </c>
      <c r="G49" s="102">
        <v>950.0</v>
      </c>
      <c r="H49" s="102">
        <v>5.0</v>
      </c>
      <c r="I49" s="87">
        <f t="shared" si="5"/>
        <v>4750</v>
      </c>
    </row>
    <row r="50" ht="31.5" customHeight="1">
      <c r="A50" s="101"/>
      <c r="B50" s="106">
        <v>6.0</v>
      </c>
      <c r="C50" s="82" t="s">
        <v>77</v>
      </c>
      <c r="D50" s="105"/>
      <c r="E50" s="84"/>
      <c r="F50" s="105"/>
      <c r="G50" s="105"/>
      <c r="H50" s="107"/>
      <c r="I50" s="87"/>
    </row>
    <row r="51" ht="51.0" customHeight="1">
      <c r="A51" s="101"/>
      <c r="B51" s="108" t="s">
        <v>60</v>
      </c>
      <c r="C51" s="82" t="s">
        <v>78</v>
      </c>
      <c r="D51" s="83">
        <v>850440.0</v>
      </c>
      <c r="E51" s="84">
        <v>0.18</v>
      </c>
      <c r="F51" s="102" t="s">
        <v>79</v>
      </c>
      <c r="G51" s="102">
        <v>132.0</v>
      </c>
      <c r="H51" s="102">
        <v>978.0</v>
      </c>
      <c r="I51" s="87">
        <f t="shared" ref="I51:I53" si="6">H51*G51</f>
        <v>129096</v>
      </c>
    </row>
    <row r="52" ht="57.0" customHeight="1">
      <c r="A52" s="101"/>
      <c r="B52" s="108" t="s">
        <v>62</v>
      </c>
      <c r="C52" s="82" t="s">
        <v>80</v>
      </c>
      <c r="D52" s="83">
        <v>850440.0</v>
      </c>
      <c r="E52" s="84">
        <v>0.18</v>
      </c>
      <c r="F52" s="102" t="s">
        <v>79</v>
      </c>
      <c r="G52" s="102">
        <v>177.0</v>
      </c>
      <c r="H52" s="102">
        <v>456.0</v>
      </c>
      <c r="I52" s="87">
        <f t="shared" si="6"/>
        <v>80712</v>
      </c>
    </row>
    <row r="53" ht="57.0" customHeight="1">
      <c r="A53" s="101"/>
      <c r="B53" s="108" t="s">
        <v>81</v>
      </c>
      <c r="C53" s="82" t="s">
        <v>82</v>
      </c>
      <c r="D53" s="83">
        <v>850440.0</v>
      </c>
      <c r="E53" s="84">
        <v>0.18</v>
      </c>
      <c r="F53" s="102" t="s">
        <v>79</v>
      </c>
      <c r="G53" s="102">
        <v>493.0</v>
      </c>
      <c r="H53" s="102">
        <v>70.0</v>
      </c>
      <c r="I53" s="100">
        <f t="shared" si="6"/>
        <v>34510</v>
      </c>
    </row>
    <row r="54" ht="15.75" customHeight="1">
      <c r="A54" s="101"/>
      <c r="B54" s="103">
        <v>7.0</v>
      </c>
      <c r="C54" s="82" t="s">
        <v>83</v>
      </c>
      <c r="D54" s="104"/>
      <c r="E54" s="84"/>
      <c r="F54" s="105"/>
      <c r="G54" s="105"/>
      <c r="H54" s="107"/>
      <c r="I54" s="87"/>
    </row>
    <row r="55" ht="15.75" customHeight="1">
      <c r="A55" s="101"/>
      <c r="B55" s="108" t="s">
        <v>60</v>
      </c>
      <c r="C55" s="82" t="s">
        <v>84</v>
      </c>
      <c r="D55" s="83">
        <v>850440.0</v>
      </c>
      <c r="E55" s="84">
        <v>0.18</v>
      </c>
      <c r="F55" s="102" t="s">
        <v>79</v>
      </c>
      <c r="G55" s="102">
        <v>304.0</v>
      </c>
      <c r="H55" s="102">
        <v>5.0</v>
      </c>
      <c r="I55" s="87">
        <f t="shared" ref="I55:I57" si="7">H55*G55</f>
        <v>1520</v>
      </c>
    </row>
    <row r="56" ht="15.75" customHeight="1">
      <c r="A56" s="101"/>
      <c r="B56" s="108" t="s">
        <v>62</v>
      </c>
      <c r="C56" s="82" t="s">
        <v>85</v>
      </c>
      <c r="D56" s="83">
        <v>850440.0</v>
      </c>
      <c r="E56" s="84">
        <v>0.18</v>
      </c>
      <c r="F56" s="102" t="s">
        <v>43</v>
      </c>
      <c r="G56" s="102">
        <v>734.0</v>
      </c>
      <c r="H56" s="102">
        <v>2.0</v>
      </c>
      <c r="I56" s="87">
        <f t="shared" si="7"/>
        <v>1468</v>
      </c>
    </row>
    <row r="57" ht="15.75" customHeight="1">
      <c r="A57" s="98"/>
      <c r="B57" s="99" t="s">
        <v>81</v>
      </c>
      <c r="C57" s="82" t="s">
        <v>86</v>
      </c>
      <c r="D57" s="83">
        <v>850440.0</v>
      </c>
      <c r="E57" s="84">
        <v>0.18</v>
      </c>
      <c r="F57" s="89" t="s">
        <v>43</v>
      </c>
      <c r="G57" s="89">
        <v>633.0</v>
      </c>
      <c r="H57" s="89">
        <v>1.0</v>
      </c>
      <c r="I57" s="87">
        <f t="shared" si="7"/>
        <v>633</v>
      </c>
    </row>
    <row r="58" ht="15.75" customHeight="1">
      <c r="A58" s="98"/>
      <c r="B58" s="85">
        <v>8.0</v>
      </c>
      <c r="C58" s="109" t="s">
        <v>87</v>
      </c>
      <c r="D58" s="83"/>
      <c r="E58" s="84"/>
      <c r="F58" s="110"/>
      <c r="G58" s="105"/>
      <c r="H58" s="105"/>
      <c r="I58" s="87"/>
    </row>
    <row r="59" ht="15.75" customHeight="1">
      <c r="A59" s="98"/>
      <c r="B59" s="99" t="s">
        <v>60</v>
      </c>
      <c r="C59" s="111" t="s">
        <v>88</v>
      </c>
      <c r="D59" s="112">
        <v>850440.0</v>
      </c>
      <c r="E59" s="84">
        <v>0.18</v>
      </c>
      <c r="F59" s="85" t="s">
        <v>89</v>
      </c>
      <c r="G59" s="102">
        <v>101.0</v>
      </c>
      <c r="H59" s="102">
        <v>52.0</v>
      </c>
      <c r="I59" s="87">
        <f t="shared" ref="I59:I60" si="8">H59*G59</f>
        <v>5252</v>
      </c>
    </row>
    <row r="60" ht="39.75" customHeight="1">
      <c r="A60" s="98"/>
      <c r="B60" s="99" t="s">
        <v>62</v>
      </c>
      <c r="C60" s="82" t="s">
        <v>90</v>
      </c>
      <c r="D60" s="83">
        <v>850440.0</v>
      </c>
      <c r="E60" s="84">
        <v>0.18</v>
      </c>
      <c r="F60" s="85" t="s">
        <v>43</v>
      </c>
      <c r="G60" s="102">
        <v>7590.0</v>
      </c>
      <c r="H60" s="102">
        <v>2.0</v>
      </c>
      <c r="I60" s="87">
        <f t="shared" si="8"/>
        <v>15180</v>
      </c>
    </row>
    <row r="61" ht="15.75" customHeight="1">
      <c r="A61" s="101">
        <v>4.0</v>
      </c>
      <c r="B61" s="113" t="s">
        <v>91</v>
      </c>
      <c r="C61" s="105"/>
      <c r="D61" s="114"/>
      <c r="E61" s="84"/>
      <c r="F61" s="110"/>
      <c r="G61" s="105"/>
      <c r="H61" s="105"/>
      <c r="I61" s="87"/>
    </row>
    <row r="62" ht="33.0" customHeight="1">
      <c r="A62" s="98"/>
      <c r="B62" s="115" t="s">
        <v>60</v>
      </c>
      <c r="C62" s="82" t="s">
        <v>92</v>
      </c>
      <c r="D62" s="83">
        <v>850440.0</v>
      </c>
      <c r="E62" s="84">
        <v>0.18</v>
      </c>
      <c r="F62" s="89" t="s">
        <v>43</v>
      </c>
      <c r="G62" s="102">
        <v>2875.0</v>
      </c>
      <c r="H62" s="102">
        <v>36.0</v>
      </c>
      <c r="I62" s="87">
        <f t="shared" ref="I62:I63" si="9">H62*G62</f>
        <v>103500</v>
      </c>
    </row>
    <row r="63" ht="33.0" customHeight="1">
      <c r="A63" s="98"/>
      <c r="B63" s="115" t="s">
        <v>62</v>
      </c>
      <c r="C63" s="82" t="s">
        <v>93</v>
      </c>
      <c r="D63" s="83">
        <v>850440.0</v>
      </c>
      <c r="E63" s="84">
        <v>0.18</v>
      </c>
      <c r="F63" s="89" t="s">
        <v>43</v>
      </c>
      <c r="G63" s="102">
        <v>460.0</v>
      </c>
      <c r="H63" s="102">
        <v>10.0</v>
      </c>
      <c r="I63" s="87">
        <f t="shared" si="9"/>
        <v>4600</v>
      </c>
    </row>
    <row r="64" ht="15.75" customHeight="1">
      <c r="A64" s="101">
        <v>5.0</v>
      </c>
      <c r="B64" s="91" t="s">
        <v>94</v>
      </c>
      <c r="C64" s="105"/>
      <c r="D64" s="114"/>
      <c r="E64" s="84"/>
      <c r="F64" s="110"/>
      <c r="G64" s="102"/>
      <c r="H64" s="102"/>
      <c r="I64" s="87"/>
    </row>
    <row r="65" ht="36.75" customHeight="1">
      <c r="A65" s="98"/>
      <c r="B65" s="115">
        <v>1.0</v>
      </c>
      <c r="C65" s="82" t="s">
        <v>95</v>
      </c>
      <c r="D65" s="83">
        <v>850440.0</v>
      </c>
      <c r="E65" s="84">
        <v>0.18</v>
      </c>
      <c r="F65" s="85" t="s">
        <v>43</v>
      </c>
      <c r="G65" s="102">
        <v>2720.0</v>
      </c>
      <c r="H65" s="102">
        <v>20.0</v>
      </c>
      <c r="I65" s="87">
        <f>H65*G65</f>
        <v>54400</v>
      </c>
    </row>
    <row r="66" ht="15.75" customHeight="1">
      <c r="A66" s="101">
        <v>6.0</v>
      </c>
      <c r="B66" s="116" t="s">
        <v>96</v>
      </c>
      <c r="C66" s="82"/>
      <c r="D66" s="114"/>
      <c r="E66" s="84"/>
      <c r="F66" s="110"/>
      <c r="G66" s="105"/>
      <c r="H66" s="105"/>
      <c r="I66" s="87"/>
    </row>
    <row r="67" ht="30.0" customHeight="1">
      <c r="A67" s="101"/>
      <c r="B67" s="85">
        <v>10.0</v>
      </c>
      <c r="C67" s="117" t="s">
        <v>97</v>
      </c>
      <c r="D67" s="83">
        <v>850440.0</v>
      </c>
      <c r="E67" s="84">
        <v>0.18</v>
      </c>
      <c r="F67" s="85" t="s">
        <v>43</v>
      </c>
      <c r="G67" s="102">
        <v>15094.0</v>
      </c>
      <c r="H67" s="102">
        <v>1.0</v>
      </c>
      <c r="I67" s="87">
        <f t="shared" ref="I67:I68" si="10">H67*G67</f>
        <v>15094</v>
      </c>
    </row>
    <row r="68" ht="15.75" customHeight="1">
      <c r="A68" s="101"/>
      <c r="B68" s="85" t="s">
        <v>62</v>
      </c>
      <c r="C68" s="118" t="s">
        <v>98</v>
      </c>
      <c r="D68" s="83">
        <v>850440.0</v>
      </c>
      <c r="E68" s="84">
        <v>0.18</v>
      </c>
      <c r="F68" s="86" t="s">
        <v>43</v>
      </c>
      <c r="G68" s="102">
        <v>10925.0</v>
      </c>
      <c r="H68" s="102">
        <v>2.0</v>
      </c>
      <c r="I68" s="87">
        <f t="shared" si="10"/>
        <v>21850</v>
      </c>
    </row>
    <row r="69" ht="15.75" customHeight="1">
      <c r="A69" s="101">
        <v>7.0</v>
      </c>
      <c r="B69" s="85"/>
      <c r="C69" s="118" t="s">
        <v>99</v>
      </c>
      <c r="D69" s="83">
        <v>850440.0</v>
      </c>
      <c r="E69" s="84">
        <v>0.18</v>
      </c>
      <c r="F69" s="86" t="s">
        <v>43</v>
      </c>
      <c r="G69" s="102">
        <v>10000.0</v>
      </c>
      <c r="H69" s="102">
        <v>1.0</v>
      </c>
      <c r="I69" s="87">
        <v>10000.0</v>
      </c>
    </row>
    <row r="70" ht="15.75" customHeight="1">
      <c r="A70" s="101">
        <v>8.0</v>
      </c>
      <c r="B70" s="85" t="s">
        <v>100</v>
      </c>
      <c r="C70" s="119" t="s">
        <v>101</v>
      </c>
      <c r="D70" s="83">
        <v>850440.0</v>
      </c>
      <c r="E70" s="84">
        <v>0.18</v>
      </c>
      <c r="F70" s="86" t="s">
        <v>43</v>
      </c>
      <c r="G70" s="102">
        <v>1950.0</v>
      </c>
      <c r="H70" s="102">
        <v>4.0</v>
      </c>
      <c r="I70" s="87">
        <f>G70*H70</f>
        <v>7800</v>
      </c>
    </row>
    <row r="71" ht="15.75" customHeight="1">
      <c r="A71" s="101">
        <v>9.0</v>
      </c>
      <c r="B71" s="120" t="s">
        <v>102</v>
      </c>
      <c r="C71" s="118"/>
      <c r="D71" s="114"/>
      <c r="E71" s="84"/>
      <c r="F71" s="121"/>
      <c r="G71" s="105"/>
      <c r="H71" s="105"/>
      <c r="I71" s="87"/>
    </row>
    <row r="72" ht="15.75" customHeight="1">
      <c r="A72" s="101"/>
      <c r="B72" s="85">
        <v>1.0</v>
      </c>
      <c r="C72" s="118" t="s">
        <v>103</v>
      </c>
      <c r="D72" s="83">
        <v>854449.0</v>
      </c>
      <c r="E72" s="84">
        <v>0.18</v>
      </c>
      <c r="F72" s="86" t="s">
        <v>89</v>
      </c>
      <c r="G72" s="102">
        <v>35.0</v>
      </c>
      <c r="H72" s="102">
        <v>272.0</v>
      </c>
      <c r="I72" s="87">
        <f t="shared" ref="I72:I75" si="11">H72*G72</f>
        <v>9520</v>
      </c>
    </row>
    <row r="73" ht="33.0" customHeight="1">
      <c r="A73" s="101"/>
      <c r="B73" s="85">
        <v>2.0</v>
      </c>
      <c r="C73" s="82" t="s">
        <v>104</v>
      </c>
      <c r="D73" s="83">
        <v>854449.0</v>
      </c>
      <c r="E73" s="84">
        <v>0.18</v>
      </c>
      <c r="F73" s="86" t="s">
        <v>43</v>
      </c>
      <c r="G73" s="102">
        <v>374.0</v>
      </c>
      <c r="H73" s="102">
        <v>12.0</v>
      </c>
      <c r="I73" s="87">
        <f t="shared" si="11"/>
        <v>4488</v>
      </c>
    </row>
    <row r="74" ht="41.25" customHeight="1">
      <c r="A74" s="101"/>
      <c r="B74" s="85">
        <v>3.0</v>
      </c>
      <c r="C74" s="82" t="s">
        <v>105</v>
      </c>
      <c r="D74" s="83">
        <v>854449.0</v>
      </c>
      <c r="E74" s="84">
        <v>0.18</v>
      </c>
      <c r="F74" s="86" t="s">
        <v>43</v>
      </c>
      <c r="G74" s="102">
        <v>173.0</v>
      </c>
      <c r="H74" s="102">
        <v>9.0</v>
      </c>
      <c r="I74" s="87">
        <f t="shared" si="11"/>
        <v>1557</v>
      </c>
    </row>
    <row r="75" ht="36.0" customHeight="1">
      <c r="A75" s="101"/>
      <c r="B75" s="85">
        <v>4.0</v>
      </c>
      <c r="C75" s="82" t="s">
        <v>106</v>
      </c>
      <c r="D75" s="83">
        <v>854449.0</v>
      </c>
      <c r="E75" s="84">
        <v>0.18</v>
      </c>
      <c r="F75" s="86" t="s">
        <v>43</v>
      </c>
      <c r="G75" s="102">
        <v>127.0</v>
      </c>
      <c r="H75" s="102">
        <v>9.0</v>
      </c>
      <c r="I75" s="87">
        <f t="shared" si="11"/>
        <v>1143</v>
      </c>
    </row>
    <row r="76" ht="63.75" customHeight="1">
      <c r="A76" s="101"/>
      <c r="B76" s="85">
        <v>5.0</v>
      </c>
      <c r="C76" s="82" t="s">
        <v>107</v>
      </c>
      <c r="D76" s="83">
        <v>854449.0</v>
      </c>
      <c r="E76" s="84">
        <v>0.18</v>
      </c>
      <c r="F76" s="86" t="s">
        <v>43</v>
      </c>
      <c r="G76" s="102">
        <v>6578.0</v>
      </c>
      <c r="H76" s="102">
        <v>1.0</v>
      </c>
      <c r="I76" s="87">
        <f>G76*H76</f>
        <v>6578</v>
      </c>
    </row>
    <row r="77" ht="29.25" customHeight="1">
      <c r="A77" s="101"/>
      <c r="B77" s="85">
        <v>6.0</v>
      </c>
      <c r="C77" s="82" t="s">
        <v>108</v>
      </c>
      <c r="D77" s="83">
        <v>854449.0</v>
      </c>
      <c r="E77" s="84">
        <v>0.18</v>
      </c>
      <c r="F77" s="86" t="s">
        <v>43</v>
      </c>
      <c r="G77" s="102">
        <v>152.0</v>
      </c>
      <c r="H77" s="102">
        <v>12.0</v>
      </c>
      <c r="I77" s="87">
        <f t="shared" ref="I77:I79" si="12">H77*G77</f>
        <v>1824</v>
      </c>
    </row>
    <row r="78" ht="15.75" customHeight="1">
      <c r="A78" s="101"/>
      <c r="B78" s="85">
        <v>7.0</v>
      </c>
      <c r="C78" s="122" t="s">
        <v>109</v>
      </c>
      <c r="D78" s="83">
        <v>854449.0</v>
      </c>
      <c r="E78" s="84">
        <v>0.18</v>
      </c>
      <c r="F78" s="86" t="s">
        <v>43</v>
      </c>
      <c r="G78" s="102">
        <v>10500.0</v>
      </c>
      <c r="H78" s="102">
        <v>1.0</v>
      </c>
      <c r="I78" s="87">
        <f t="shared" si="12"/>
        <v>10500</v>
      </c>
    </row>
    <row r="79" ht="15.75" customHeight="1">
      <c r="A79" s="101"/>
      <c r="B79" s="85">
        <v>8.0</v>
      </c>
      <c r="C79" s="82" t="s">
        <v>110</v>
      </c>
      <c r="D79" s="83">
        <v>854449.0</v>
      </c>
      <c r="E79" s="84">
        <v>0.18</v>
      </c>
      <c r="F79" s="86" t="s">
        <v>43</v>
      </c>
      <c r="G79" s="102">
        <v>9750.0</v>
      </c>
      <c r="H79" s="102">
        <v>1.0</v>
      </c>
      <c r="I79" s="87">
        <f t="shared" si="12"/>
        <v>9750</v>
      </c>
    </row>
    <row r="80" ht="15.75" customHeight="1">
      <c r="A80" s="101">
        <v>8.0</v>
      </c>
      <c r="B80" s="123" t="s">
        <v>111</v>
      </c>
      <c r="C80" s="118"/>
      <c r="D80" s="114"/>
      <c r="E80" s="84"/>
      <c r="F80" s="86"/>
      <c r="G80" s="102"/>
      <c r="H80" s="102"/>
      <c r="I80" s="87"/>
    </row>
    <row r="81" ht="15.75" customHeight="1">
      <c r="A81" s="101"/>
      <c r="B81" s="85">
        <v>1.0</v>
      </c>
      <c r="C81" s="118" t="s">
        <v>112</v>
      </c>
      <c r="D81" s="83">
        <v>854449.0</v>
      </c>
      <c r="E81" s="84">
        <v>0.18</v>
      </c>
      <c r="F81" s="86" t="s">
        <v>79</v>
      </c>
      <c r="G81" s="102">
        <v>38.0</v>
      </c>
      <c r="H81" s="102">
        <v>176.0</v>
      </c>
      <c r="I81" s="87">
        <f t="shared" ref="I81:I82" si="13">H81*G81</f>
        <v>6688</v>
      </c>
    </row>
    <row r="82" ht="15.75" customHeight="1">
      <c r="A82" s="98"/>
      <c r="B82" s="85">
        <v>2.0</v>
      </c>
      <c r="C82" s="118" t="s">
        <v>113</v>
      </c>
      <c r="D82" s="83">
        <v>850440.0</v>
      </c>
      <c r="E82" s="84">
        <v>0.18</v>
      </c>
      <c r="F82" s="85" t="s">
        <v>79</v>
      </c>
      <c r="G82" s="89">
        <v>43.0</v>
      </c>
      <c r="H82" s="89">
        <v>176.0</v>
      </c>
      <c r="I82" s="87">
        <f t="shared" si="13"/>
        <v>7568</v>
      </c>
    </row>
    <row r="83" ht="15.75" customHeight="1">
      <c r="A83" s="98">
        <v>9.0</v>
      </c>
      <c r="B83" s="124" t="s">
        <v>114</v>
      </c>
      <c r="C83" s="118"/>
      <c r="D83" s="83"/>
      <c r="E83" s="83"/>
      <c r="F83" s="85"/>
      <c r="G83" s="89"/>
      <c r="H83" s="89"/>
      <c r="I83" s="87"/>
    </row>
    <row r="84" ht="27.0" customHeight="1">
      <c r="A84" s="101"/>
      <c r="B84" s="85">
        <v>1.0</v>
      </c>
      <c r="C84" s="125" t="s">
        <v>115</v>
      </c>
      <c r="D84" s="83">
        <v>940310.0</v>
      </c>
      <c r="E84" s="84">
        <v>0.18</v>
      </c>
      <c r="F84" s="85" t="s">
        <v>116</v>
      </c>
      <c r="G84" s="89">
        <v>435.0</v>
      </c>
      <c r="H84" s="89">
        <v>214.0</v>
      </c>
      <c r="I84" s="87">
        <f t="shared" ref="I84:I85" si="14">H84*G84</f>
        <v>93090</v>
      </c>
    </row>
    <row r="85" ht="29.25" customHeight="1">
      <c r="A85" s="98"/>
      <c r="B85" s="85">
        <v>2.0</v>
      </c>
      <c r="C85" s="126" t="s">
        <v>117</v>
      </c>
      <c r="D85" s="83">
        <v>870410.0</v>
      </c>
      <c r="E85" s="84">
        <v>0.18</v>
      </c>
      <c r="F85" s="85" t="s">
        <v>43</v>
      </c>
      <c r="G85" s="89">
        <v>1.0</v>
      </c>
      <c r="H85" s="89">
        <v>15000.0</v>
      </c>
      <c r="I85" s="87">
        <f t="shared" si="14"/>
        <v>15000</v>
      </c>
    </row>
    <row r="86" ht="15.75" customHeight="1">
      <c r="A86" s="98"/>
      <c r="B86" s="85"/>
      <c r="C86" s="118"/>
      <c r="D86" s="83"/>
      <c r="E86" s="84"/>
      <c r="F86" s="85"/>
      <c r="G86" s="89"/>
      <c r="H86" s="89"/>
      <c r="I86" s="87"/>
    </row>
    <row r="87" ht="15.75" customHeight="1">
      <c r="A87" s="98"/>
      <c r="B87" s="85"/>
      <c r="C87" s="118"/>
      <c r="D87" s="83"/>
      <c r="E87" s="83"/>
      <c r="F87" s="85"/>
      <c r="G87" s="89"/>
      <c r="H87" s="89"/>
      <c r="I87" s="87"/>
    </row>
    <row r="88" ht="15.75" customHeight="1">
      <c r="A88" s="98"/>
      <c r="B88" s="114"/>
      <c r="C88" s="127"/>
      <c r="D88" s="114"/>
      <c r="E88" s="114"/>
      <c r="F88" s="110"/>
      <c r="G88" s="110"/>
      <c r="H88" s="116" t="s">
        <v>118</v>
      </c>
      <c r="I88" s="128">
        <f>SUM(I19:I87)</f>
        <v>2588537.88</v>
      </c>
    </row>
    <row r="89" ht="15.75" customHeight="1">
      <c r="A89" s="98"/>
      <c r="B89" s="114"/>
      <c r="C89" s="127"/>
      <c r="D89" s="114"/>
      <c r="E89" s="114"/>
      <c r="F89" s="110"/>
      <c r="G89" s="110"/>
      <c r="H89" s="110" t="s">
        <v>119</v>
      </c>
      <c r="I89" s="129">
        <f>I88*18%</f>
        <v>465936.8184</v>
      </c>
    </row>
    <row r="90" ht="21.0" customHeight="1">
      <c r="A90" s="98"/>
      <c r="B90" s="114"/>
      <c r="C90" s="130"/>
      <c r="D90" s="130"/>
      <c r="E90" s="130"/>
      <c r="F90" s="130"/>
      <c r="G90" s="131" t="s">
        <v>120</v>
      </c>
      <c r="I90" s="132">
        <f>I89+I88</f>
        <v>3054474.698</v>
      </c>
    </row>
    <row r="91" ht="30.75" customHeight="1">
      <c r="A91" s="133"/>
      <c r="B91" s="134"/>
      <c r="C91" s="135" t="s">
        <v>121</v>
      </c>
      <c r="D91" s="136"/>
      <c r="E91" s="136"/>
      <c r="F91" s="136"/>
      <c r="G91" s="136"/>
      <c r="H91" s="136"/>
      <c r="I91" s="137"/>
    </row>
    <row r="92" ht="30.75" customHeight="1">
      <c r="A92" s="72" t="s">
        <v>31</v>
      </c>
      <c r="B92" s="138" t="s">
        <v>122</v>
      </c>
      <c r="C92" s="139"/>
      <c r="D92" s="140" t="s">
        <v>123</v>
      </c>
      <c r="E92" s="141" t="s">
        <v>124</v>
      </c>
      <c r="F92" s="142"/>
      <c r="G92" s="139"/>
      <c r="H92" s="143" t="s">
        <v>125</v>
      </c>
      <c r="I92" s="140" t="s">
        <v>126</v>
      </c>
    </row>
    <row r="93" ht="30.75" customHeight="1">
      <c r="A93" s="144">
        <v>1.0</v>
      </c>
      <c r="B93" s="145">
        <v>940310.0</v>
      </c>
      <c r="C93" s="21"/>
      <c r="D93" s="146">
        <v>0.18</v>
      </c>
      <c r="E93" s="147">
        <f>SUM(I20:I25,I27:I36,I40:I43,I84)</f>
        <v>1416629.88</v>
      </c>
      <c r="F93" s="49"/>
      <c r="G93" s="66"/>
      <c r="H93" s="148">
        <f t="shared" ref="H93:H100" si="15">E93*18/100</f>
        <v>254993.3784</v>
      </c>
      <c r="I93" s="149">
        <f t="shared" ref="I93:I101" si="16">H93</f>
        <v>254993.3784</v>
      </c>
    </row>
    <row r="94" ht="30.75" customHeight="1">
      <c r="A94" s="150">
        <v>2.0</v>
      </c>
      <c r="B94" s="151">
        <v>721669.0</v>
      </c>
      <c r="C94" s="66"/>
      <c r="D94" s="146">
        <v>0.18</v>
      </c>
      <c r="E94" s="147">
        <f t="shared" ref="E94:E96" si="17">SUM(I37)</f>
        <v>76608</v>
      </c>
      <c r="F94" s="49"/>
      <c r="G94" s="66"/>
      <c r="H94" s="148">
        <f t="shared" si="15"/>
        <v>13789.44</v>
      </c>
      <c r="I94" s="149">
        <f t="shared" si="16"/>
        <v>13789.44</v>
      </c>
    </row>
    <row r="95" ht="30.75" customHeight="1">
      <c r="A95" s="150">
        <v>3.0</v>
      </c>
      <c r="B95" s="151">
        <v>730890.0</v>
      </c>
      <c r="C95" s="66"/>
      <c r="D95" s="146">
        <v>0.18</v>
      </c>
      <c r="E95" s="147">
        <f t="shared" si="17"/>
        <v>147528</v>
      </c>
      <c r="F95" s="49"/>
      <c r="G95" s="66"/>
      <c r="H95" s="148">
        <f t="shared" si="15"/>
        <v>26555.04</v>
      </c>
      <c r="I95" s="149">
        <f t="shared" si="16"/>
        <v>26555.04</v>
      </c>
    </row>
    <row r="96" ht="30.75" customHeight="1">
      <c r="A96" s="150">
        <v>4.0</v>
      </c>
      <c r="B96" s="151">
        <v>320910.0</v>
      </c>
      <c r="C96" s="66"/>
      <c r="D96" s="146">
        <v>0.18</v>
      </c>
      <c r="E96" s="147">
        <f t="shared" si="17"/>
        <v>146980</v>
      </c>
      <c r="F96" s="49"/>
      <c r="G96" s="66"/>
      <c r="H96" s="148">
        <f t="shared" si="15"/>
        <v>26456.4</v>
      </c>
      <c r="I96" s="149">
        <f t="shared" si="16"/>
        <v>26456.4</v>
      </c>
    </row>
    <row r="97" ht="30.75" customHeight="1">
      <c r="A97" s="150">
        <v>5.0</v>
      </c>
      <c r="B97" s="151">
        <v>850440.0</v>
      </c>
      <c r="C97" s="66"/>
      <c r="D97" s="146">
        <v>0.18</v>
      </c>
      <c r="E97" s="147">
        <f>SUM(I82,I45:I70)</f>
        <v>575872</v>
      </c>
      <c r="F97" s="49"/>
      <c r="G97" s="66"/>
      <c r="H97" s="148">
        <f t="shared" si="15"/>
        <v>103656.96</v>
      </c>
      <c r="I97" s="149">
        <f t="shared" si="16"/>
        <v>103656.96</v>
      </c>
    </row>
    <row r="98" ht="30.75" customHeight="1">
      <c r="A98" s="150">
        <v>6.0</v>
      </c>
      <c r="B98" s="151">
        <v>854449.0</v>
      </c>
      <c r="C98" s="66"/>
      <c r="D98" s="146">
        <v>0.18</v>
      </c>
      <c r="E98" s="147">
        <f>SUM(I72:I81,)</f>
        <v>52048</v>
      </c>
      <c r="F98" s="49"/>
      <c r="G98" s="66"/>
      <c r="H98" s="148">
        <f t="shared" si="15"/>
        <v>9368.64</v>
      </c>
      <c r="I98" s="149">
        <f t="shared" si="16"/>
        <v>9368.64</v>
      </c>
    </row>
    <row r="99" ht="30.75" customHeight="1">
      <c r="A99" s="150">
        <v>7.0</v>
      </c>
      <c r="B99" s="152">
        <v>998391.0</v>
      </c>
      <c r="D99" s="146">
        <v>0.18</v>
      </c>
      <c r="E99" s="147">
        <f>SUM(I26)</f>
        <v>157872</v>
      </c>
      <c r="F99" s="49"/>
      <c r="G99" s="66"/>
      <c r="H99" s="148">
        <f t="shared" si="15"/>
        <v>28416.96</v>
      </c>
      <c r="I99" s="149">
        <f t="shared" si="16"/>
        <v>28416.96</v>
      </c>
    </row>
    <row r="100" ht="30.75" customHeight="1">
      <c r="A100" s="153">
        <v>8.0</v>
      </c>
      <c r="B100" s="152">
        <v>870410.0</v>
      </c>
      <c r="D100" s="146">
        <v>0.18</v>
      </c>
      <c r="E100" s="147">
        <f>SUM(I85)</f>
        <v>15000</v>
      </c>
      <c r="F100" s="49"/>
      <c r="G100" s="66"/>
      <c r="H100" s="148">
        <f t="shared" si="15"/>
        <v>2700</v>
      </c>
      <c r="I100" s="149">
        <f t="shared" si="16"/>
        <v>2700</v>
      </c>
    </row>
    <row r="101" ht="30.75" customHeight="1">
      <c r="A101" s="154"/>
      <c r="B101" s="155" t="s">
        <v>118</v>
      </c>
      <c r="C101" s="32"/>
      <c r="D101" s="156"/>
      <c r="E101" s="157">
        <f>SUM(F93:G100)</f>
        <v>0</v>
      </c>
      <c r="F101" s="63"/>
      <c r="G101" s="32"/>
      <c r="H101" s="156">
        <f>SUM(H93:H100)</f>
        <v>465936.8184</v>
      </c>
      <c r="I101" s="149">
        <f t="shared" si="16"/>
        <v>465936.8184</v>
      </c>
    </row>
    <row r="102" ht="15.75" customHeight="1">
      <c r="A102" s="158"/>
      <c r="B102" s="159" t="s">
        <v>127</v>
      </c>
      <c r="C102" s="50"/>
      <c r="D102" s="160"/>
      <c r="E102" s="160"/>
      <c r="F102" s="161"/>
      <c r="G102" s="41"/>
      <c r="H102" s="162" t="s">
        <v>128</v>
      </c>
      <c r="I102" s="50"/>
    </row>
    <row r="103" ht="15.75" customHeight="1">
      <c r="A103" s="163"/>
      <c r="B103" s="163" t="s">
        <v>129</v>
      </c>
      <c r="C103" s="10"/>
      <c r="D103" s="164"/>
      <c r="E103" s="160"/>
      <c r="F103" s="165"/>
      <c r="G103" s="41"/>
      <c r="H103" s="166" t="s">
        <v>130</v>
      </c>
      <c r="I103" s="10"/>
    </row>
    <row r="104" ht="15.75" customHeight="1">
      <c r="A104" s="163"/>
      <c r="B104" s="167" t="s">
        <v>131</v>
      </c>
      <c r="C104" s="10"/>
      <c r="D104" s="164"/>
      <c r="E104" s="160"/>
      <c r="F104" s="165"/>
      <c r="G104" s="41"/>
      <c r="H104" s="168"/>
      <c r="I104" s="14"/>
    </row>
    <row r="105" ht="15.75" customHeight="1">
      <c r="A105" s="169"/>
      <c r="B105" s="170" t="s">
        <v>132</v>
      </c>
      <c r="C105" s="14"/>
      <c r="D105" s="164"/>
      <c r="E105" s="160"/>
      <c r="F105" s="165"/>
      <c r="G105" s="41"/>
      <c r="H105" s="165"/>
      <c r="I105" s="41"/>
    </row>
    <row r="106" ht="15.75" customHeight="1">
      <c r="A106" s="169"/>
      <c r="B106" s="165"/>
      <c r="C106" s="41"/>
      <c r="D106" s="164"/>
      <c r="E106" s="160"/>
      <c r="F106" s="165"/>
      <c r="G106" s="41"/>
      <c r="H106" s="165"/>
      <c r="I106" s="41"/>
    </row>
    <row r="107" ht="15.75" customHeight="1">
      <c r="A107" s="169"/>
      <c r="B107" s="165"/>
      <c r="C107" s="41"/>
      <c r="D107" s="164"/>
      <c r="E107" s="160"/>
      <c r="F107" s="165"/>
      <c r="G107" s="41"/>
      <c r="H107" s="165"/>
      <c r="I107" s="41"/>
    </row>
    <row r="108" ht="15.75" customHeight="1">
      <c r="A108" s="169"/>
      <c r="B108" s="165"/>
      <c r="C108" s="41"/>
      <c r="D108" s="164"/>
      <c r="E108" s="160"/>
      <c r="F108" s="171"/>
      <c r="G108" s="50"/>
      <c r="H108" s="171"/>
      <c r="I108" s="50"/>
    </row>
    <row r="109" ht="15.75" customHeight="1">
      <c r="A109" s="172"/>
      <c r="B109" s="173"/>
      <c r="C109" s="174"/>
      <c r="D109" s="175"/>
      <c r="E109" s="175"/>
      <c r="F109" s="176" t="s">
        <v>133</v>
      </c>
      <c r="G109" s="64"/>
      <c r="H109" s="177" t="s">
        <v>134</v>
      </c>
      <c r="I109" s="64"/>
    </row>
    <row r="110" ht="15.75" customHeight="1">
      <c r="A110" s="178"/>
      <c r="B110" s="178"/>
      <c r="C110" s="178"/>
      <c r="D110" s="178"/>
      <c r="E110" s="178"/>
      <c r="F110" s="178"/>
      <c r="G110" s="178"/>
      <c r="H110" s="178"/>
      <c r="I110" s="178"/>
    </row>
    <row r="111" ht="15.75" customHeight="1">
      <c r="A111" s="178"/>
      <c r="B111" s="178"/>
      <c r="C111" s="178"/>
      <c r="D111" s="178"/>
      <c r="E111" s="178"/>
      <c r="F111" s="178"/>
      <c r="G111" s="178"/>
      <c r="H111" s="178"/>
      <c r="I111" s="178"/>
    </row>
    <row r="112" ht="15.75" customHeight="1">
      <c r="I112" s="179"/>
    </row>
    <row r="113" ht="15.75" customHeight="1">
      <c r="I113" s="179"/>
    </row>
    <row r="114" ht="15.75" customHeight="1">
      <c r="I114" s="179"/>
    </row>
    <row r="115" ht="15.75" customHeight="1">
      <c r="I115" s="179"/>
    </row>
    <row r="116" ht="15.75" customHeight="1">
      <c r="I116" s="179"/>
    </row>
    <row r="117" ht="15.75" customHeight="1">
      <c r="I117" s="179"/>
    </row>
    <row r="118" ht="15.75" customHeight="1">
      <c r="I118" s="179"/>
    </row>
    <row r="119" ht="15.75" customHeight="1">
      <c r="I119" s="179"/>
    </row>
    <row r="120" ht="15.75" customHeight="1">
      <c r="I120" s="179"/>
    </row>
    <row r="121" ht="15.75" customHeight="1">
      <c r="I121" s="179"/>
    </row>
    <row r="122" ht="15.75" customHeight="1">
      <c r="I122" s="179"/>
    </row>
    <row r="123" ht="15.75" customHeight="1">
      <c r="I123" s="179"/>
    </row>
    <row r="124" ht="15.75" customHeight="1">
      <c r="I124" s="179"/>
    </row>
    <row r="125" ht="15.75" customHeight="1">
      <c r="I125" s="179"/>
    </row>
    <row r="126" ht="15.75" customHeight="1">
      <c r="I126" s="179"/>
    </row>
    <row r="127" ht="15.75" customHeight="1">
      <c r="I127" s="179"/>
    </row>
    <row r="128" ht="15.75" customHeight="1">
      <c r="I128" s="179"/>
    </row>
    <row r="129" ht="15.75" customHeight="1">
      <c r="I129" s="179"/>
    </row>
    <row r="130" ht="15.75" customHeight="1">
      <c r="I130" s="179"/>
    </row>
    <row r="131" ht="15.75" customHeight="1">
      <c r="I131" s="179"/>
    </row>
    <row r="132" ht="15.75" customHeight="1">
      <c r="I132" s="179"/>
    </row>
    <row r="133" ht="15.75" customHeight="1">
      <c r="I133" s="179"/>
    </row>
    <row r="134" ht="15.75" customHeight="1">
      <c r="I134" s="179"/>
    </row>
    <row r="135" ht="15.75" customHeight="1">
      <c r="I135" s="179"/>
    </row>
    <row r="136" ht="15.75" customHeight="1">
      <c r="I136" s="179"/>
    </row>
    <row r="137" ht="15.75" customHeight="1">
      <c r="I137" s="179"/>
    </row>
    <row r="138" ht="15.75" customHeight="1">
      <c r="I138" s="179"/>
    </row>
    <row r="139" ht="15.75" customHeight="1">
      <c r="I139" s="179"/>
    </row>
    <row r="140" ht="15.75" customHeight="1">
      <c r="I140" s="179"/>
    </row>
    <row r="141" ht="15.75" customHeight="1">
      <c r="I141" s="179"/>
    </row>
    <row r="142" ht="15.75" customHeight="1">
      <c r="I142" s="179"/>
    </row>
    <row r="143" ht="15.75" customHeight="1">
      <c r="I143" s="179"/>
    </row>
    <row r="144" ht="15.75" customHeight="1">
      <c r="I144" s="179"/>
    </row>
    <row r="145" ht="15.75" customHeight="1">
      <c r="I145" s="179"/>
    </row>
    <row r="146" ht="15.75" customHeight="1">
      <c r="I146" s="179"/>
    </row>
    <row r="147" ht="15.75" customHeight="1">
      <c r="I147" s="179"/>
    </row>
    <row r="148" ht="15.75" customHeight="1">
      <c r="I148" s="179"/>
    </row>
    <row r="149" ht="15.75" customHeight="1">
      <c r="I149" s="179"/>
    </row>
    <row r="150" ht="15.75" customHeight="1">
      <c r="I150" s="179"/>
    </row>
    <row r="151" ht="15.75" customHeight="1">
      <c r="I151" s="179"/>
    </row>
    <row r="152" ht="15.75" customHeight="1">
      <c r="I152" s="179"/>
    </row>
    <row r="153" ht="15.75" customHeight="1">
      <c r="I153" s="179"/>
    </row>
    <row r="154" ht="15.75" customHeight="1">
      <c r="I154" s="179"/>
    </row>
    <row r="155" ht="15.75" customHeight="1">
      <c r="I155" s="179"/>
    </row>
    <row r="156" ht="15.75" customHeight="1">
      <c r="I156" s="179"/>
    </row>
    <row r="157" ht="15.75" customHeight="1">
      <c r="I157" s="179"/>
    </row>
    <row r="158" ht="15.75" customHeight="1">
      <c r="I158" s="179"/>
    </row>
    <row r="159" ht="15.75" customHeight="1">
      <c r="I159" s="179"/>
    </row>
    <row r="160" ht="15.75" customHeight="1">
      <c r="I160" s="179"/>
    </row>
    <row r="161" ht="15.75" customHeight="1">
      <c r="I161" s="179"/>
    </row>
    <row r="162" ht="15.75" customHeight="1">
      <c r="I162" s="179"/>
    </row>
    <row r="163" ht="15.75" customHeight="1">
      <c r="I163" s="179"/>
    </row>
    <row r="164" ht="15.75" customHeight="1">
      <c r="I164" s="179"/>
    </row>
    <row r="165" ht="15.75" customHeight="1">
      <c r="I165" s="179"/>
    </row>
    <row r="166" ht="15.75" customHeight="1">
      <c r="I166" s="179"/>
    </row>
    <row r="167" ht="15.75" customHeight="1">
      <c r="I167" s="179"/>
    </row>
    <row r="168" ht="15.75" customHeight="1">
      <c r="I168" s="179"/>
    </row>
    <row r="169" ht="15.75" customHeight="1">
      <c r="I169" s="179"/>
    </row>
    <row r="170" ht="15.75" customHeight="1">
      <c r="I170" s="179"/>
    </row>
    <row r="171" ht="15.75" customHeight="1">
      <c r="I171" s="179"/>
    </row>
    <row r="172" ht="15.75" customHeight="1">
      <c r="I172" s="179"/>
    </row>
    <row r="173" ht="15.75" customHeight="1">
      <c r="I173" s="179"/>
    </row>
    <row r="174" ht="15.75" customHeight="1">
      <c r="I174" s="179"/>
    </row>
    <row r="175" ht="15.75" customHeight="1">
      <c r="I175" s="179"/>
    </row>
    <row r="176" ht="15.75" customHeight="1">
      <c r="I176" s="179"/>
    </row>
    <row r="177" ht="15.75" customHeight="1">
      <c r="I177" s="179"/>
    </row>
    <row r="178" ht="15.75" customHeight="1">
      <c r="I178" s="179"/>
    </row>
    <row r="179" ht="15.75" customHeight="1">
      <c r="I179" s="179"/>
    </row>
    <row r="180" ht="15.75" customHeight="1">
      <c r="I180" s="179"/>
    </row>
    <row r="181" ht="15.75" customHeight="1">
      <c r="I181" s="179"/>
    </row>
    <row r="182" ht="15.75" customHeight="1">
      <c r="I182" s="179"/>
    </row>
    <row r="183" ht="15.75" customHeight="1">
      <c r="I183" s="179"/>
    </row>
    <row r="184" ht="15.75" customHeight="1">
      <c r="I184" s="179"/>
    </row>
    <row r="185" ht="15.75" customHeight="1">
      <c r="I185" s="179"/>
    </row>
    <row r="186" ht="15.75" customHeight="1">
      <c r="I186" s="179"/>
    </row>
    <row r="187" ht="15.75" customHeight="1">
      <c r="I187" s="179"/>
    </row>
    <row r="188" ht="15.75" customHeight="1">
      <c r="I188" s="179"/>
    </row>
    <row r="189" ht="15.75" customHeight="1">
      <c r="I189" s="179"/>
    </row>
    <row r="190" ht="15.75" customHeight="1">
      <c r="I190" s="179"/>
    </row>
    <row r="191" ht="15.75" customHeight="1">
      <c r="I191" s="179"/>
    </row>
    <row r="192" ht="15.75" customHeight="1">
      <c r="I192" s="179"/>
    </row>
    <row r="193" ht="15.75" customHeight="1">
      <c r="I193" s="179"/>
    </row>
    <row r="194" ht="15.75" customHeight="1">
      <c r="I194" s="179"/>
    </row>
    <row r="195" ht="15.75" customHeight="1">
      <c r="I195" s="179"/>
    </row>
    <row r="196" ht="15.75" customHeight="1">
      <c r="I196" s="179"/>
    </row>
    <row r="197" ht="15.75" customHeight="1">
      <c r="I197" s="179"/>
    </row>
    <row r="198" ht="15.75" customHeight="1">
      <c r="I198" s="179"/>
    </row>
    <row r="199" ht="15.75" customHeight="1">
      <c r="I199" s="179"/>
    </row>
    <row r="200" ht="15.75" customHeight="1">
      <c r="I200" s="179"/>
    </row>
    <row r="201" ht="15.75" customHeight="1">
      <c r="I201" s="179"/>
    </row>
    <row r="202" ht="15.75" customHeight="1">
      <c r="I202" s="179"/>
    </row>
    <row r="203" ht="15.75" customHeight="1">
      <c r="I203" s="179"/>
    </row>
    <row r="204" ht="15.75" customHeight="1">
      <c r="I204" s="179"/>
    </row>
    <row r="205" ht="15.75" customHeight="1">
      <c r="I205" s="179"/>
    </row>
    <row r="206" ht="15.75" customHeight="1">
      <c r="I206" s="179"/>
    </row>
    <row r="207" ht="15.75" customHeight="1">
      <c r="I207" s="179"/>
    </row>
    <row r="208" ht="15.75" customHeight="1">
      <c r="I208" s="179"/>
    </row>
    <row r="209" ht="15.75" customHeight="1">
      <c r="I209" s="179"/>
    </row>
    <row r="210" ht="15.75" customHeight="1">
      <c r="I210" s="179"/>
    </row>
    <row r="211" ht="15.75" customHeight="1">
      <c r="I211" s="179"/>
    </row>
    <row r="212" ht="15.75" customHeight="1">
      <c r="I212" s="179"/>
    </row>
    <row r="213" ht="15.75" customHeight="1">
      <c r="I213" s="179"/>
    </row>
    <row r="214" ht="15.75" customHeight="1">
      <c r="I214" s="179"/>
    </row>
    <row r="215" ht="15.75" customHeight="1">
      <c r="I215" s="179"/>
    </row>
    <row r="216" ht="15.75" customHeight="1">
      <c r="I216" s="179"/>
    </row>
    <row r="217" ht="15.75" customHeight="1">
      <c r="I217" s="179"/>
    </row>
    <row r="218" ht="15.75" customHeight="1">
      <c r="I218" s="179"/>
    </row>
    <row r="219" ht="15.75" customHeight="1">
      <c r="I219" s="179"/>
    </row>
    <row r="220" ht="15.75" customHeight="1">
      <c r="I220" s="179"/>
    </row>
    <row r="221" ht="15.75" customHeight="1">
      <c r="I221" s="179"/>
    </row>
    <row r="222" ht="15.75" customHeight="1">
      <c r="I222" s="179"/>
    </row>
    <row r="223" ht="15.75" customHeight="1">
      <c r="I223" s="179"/>
    </row>
    <row r="224" ht="15.75" customHeight="1">
      <c r="I224" s="179"/>
    </row>
    <row r="225" ht="15.75" customHeight="1">
      <c r="I225" s="179"/>
    </row>
    <row r="226" ht="15.75" customHeight="1">
      <c r="I226" s="179"/>
    </row>
    <row r="227" ht="15.75" customHeight="1">
      <c r="I227" s="179"/>
    </row>
    <row r="228" ht="15.75" customHeight="1">
      <c r="I228" s="179"/>
    </row>
    <row r="229" ht="15.75" customHeight="1">
      <c r="I229" s="179"/>
    </row>
    <row r="230" ht="15.75" customHeight="1">
      <c r="I230" s="179"/>
    </row>
    <row r="231" ht="15.75" customHeight="1">
      <c r="I231" s="179"/>
    </row>
    <row r="232" ht="15.75" customHeight="1">
      <c r="I232" s="179"/>
    </row>
    <row r="233" ht="15.75" customHeight="1">
      <c r="I233" s="179"/>
    </row>
    <row r="234" ht="15.75" customHeight="1">
      <c r="I234" s="179"/>
    </row>
    <row r="235" ht="15.75" customHeight="1">
      <c r="I235" s="179"/>
    </row>
    <row r="236" ht="15.75" customHeight="1">
      <c r="I236" s="179"/>
    </row>
    <row r="237" ht="15.75" customHeight="1">
      <c r="I237" s="179"/>
    </row>
    <row r="238" ht="15.75" customHeight="1">
      <c r="I238" s="179"/>
    </row>
    <row r="239" ht="15.75" customHeight="1">
      <c r="I239" s="179"/>
    </row>
    <row r="240" ht="15.75" customHeight="1">
      <c r="I240" s="179"/>
    </row>
    <row r="241" ht="15.75" customHeight="1">
      <c r="I241" s="179"/>
    </row>
    <row r="242" ht="15.75" customHeight="1">
      <c r="I242" s="179"/>
    </row>
    <row r="243" ht="15.75" customHeight="1">
      <c r="I243" s="179"/>
    </row>
    <row r="244" ht="15.75" customHeight="1">
      <c r="I244" s="179"/>
    </row>
    <row r="245" ht="15.75" customHeight="1">
      <c r="I245" s="179"/>
    </row>
    <row r="246" ht="15.75" customHeight="1">
      <c r="I246" s="179"/>
    </row>
    <row r="247" ht="15.75" customHeight="1">
      <c r="I247" s="179"/>
    </row>
    <row r="248" ht="15.75" customHeight="1">
      <c r="I248" s="179"/>
    </row>
    <row r="249" ht="15.75" customHeight="1">
      <c r="I249" s="179"/>
    </row>
    <row r="250" ht="15.75" customHeight="1">
      <c r="I250" s="179"/>
    </row>
    <row r="251" ht="15.75" customHeight="1">
      <c r="I251" s="179"/>
    </row>
    <row r="252" ht="15.75" customHeight="1">
      <c r="I252" s="179"/>
    </row>
    <row r="253" ht="15.75" customHeight="1">
      <c r="I253" s="179"/>
    </row>
    <row r="254" ht="15.75" customHeight="1">
      <c r="I254" s="179"/>
    </row>
    <row r="255" ht="15.75" customHeight="1">
      <c r="I255" s="179"/>
    </row>
    <row r="256" ht="15.75" customHeight="1">
      <c r="I256" s="179"/>
    </row>
    <row r="257" ht="15.75" customHeight="1">
      <c r="I257" s="179"/>
    </row>
    <row r="258" ht="15.75" customHeight="1">
      <c r="I258" s="179"/>
    </row>
    <row r="259" ht="15.75" customHeight="1">
      <c r="I259" s="179"/>
    </row>
    <row r="260" ht="15.75" customHeight="1">
      <c r="I260" s="179"/>
    </row>
    <row r="261" ht="15.75" customHeight="1">
      <c r="I261" s="179"/>
    </row>
    <row r="262" ht="15.75" customHeight="1">
      <c r="I262" s="179"/>
    </row>
    <row r="263" ht="15.75" customHeight="1">
      <c r="I263" s="179"/>
    </row>
    <row r="264" ht="15.75" customHeight="1">
      <c r="I264" s="179"/>
    </row>
    <row r="265" ht="15.75" customHeight="1">
      <c r="I265" s="179"/>
    </row>
    <row r="266" ht="15.75" customHeight="1">
      <c r="I266" s="179"/>
    </row>
    <row r="267" ht="15.75" customHeight="1">
      <c r="I267" s="179"/>
    </row>
    <row r="268" ht="15.75" customHeight="1">
      <c r="I268" s="179"/>
    </row>
    <row r="269" ht="15.75" customHeight="1">
      <c r="I269" s="179"/>
    </row>
    <row r="270" ht="15.75" customHeight="1">
      <c r="I270" s="179"/>
    </row>
    <row r="271" ht="15.75" customHeight="1">
      <c r="I271" s="179"/>
    </row>
    <row r="272" ht="15.75" customHeight="1">
      <c r="I272" s="179"/>
    </row>
    <row r="273" ht="15.75" customHeight="1">
      <c r="I273" s="179"/>
    </row>
    <row r="274" ht="15.75" customHeight="1">
      <c r="I274" s="179"/>
    </row>
    <row r="275" ht="15.75" customHeight="1">
      <c r="I275" s="179"/>
    </row>
    <row r="276" ht="15.75" customHeight="1">
      <c r="I276" s="179"/>
    </row>
    <row r="277" ht="15.75" customHeight="1">
      <c r="I277" s="179"/>
    </row>
    <row r="278" ht="15.75" customHeight="1">
      <c r="I278" s="179"/>
    </row>
    <row r="279" ht="15.75" customHeight="1">
      <c r="I279" s="179"/>
    </row>
    <row r="280" ht="15.75" customHeight="1">
      <c r="I280" s="179"/>
    </row>
    <row r="281" ht="15.75" customHeight="1">
      <c r="I281" s="179"/>
    </row>
    <row r="282" ht="15.75" customHeight="1">
      <c r="I282" s="179"/>
    </row>
    <row r="283" ht="15.75" customHeight="1">
      <c r="I283" s="179"/>
    </row>
    <row r="284" ht="15.75" customHeight="1">
      <c r="I284" s="179"/>
    </row>
    <row r="285" ht="15.75" customHeight="1">
      <c r="I285" s="179"/>
    </row>
    <row r="286" ht="15.75" customHeight="1">
      <c r="I286" s="179"/>
    </row>
    <row r="287" ht="15.75" customHeight="1">
      <c r="I287" s="179"/>
    </row>
    <row r="288" ht="15.75" customHeight="1">
      <c r="I288" s="179"/>
    </row>
    <row r="289" ht="15.75" customHeight="1">
      <c r="I289" s="179"/>
    </row>
    <row r="290" ht="15.75" customHeight="1">
      <c r="I290" s="179"/>
    </row>
    <row r="291" ht="15.75" customHeight="1">
      <c r="I291" s="179"/>
    </row>
    <row r="292" ht="15.75" customHeight="1">
      <c r="I292" s="179"/>
    </row>
    <row r="293" ht="15.75" customHeight="1">
      <c r="I293" s="179"/>
    </row>
    <row r="294" ht="15.75" customHeight="1">
      <c r="I294" s="179"/>
    </row>
    <row r="295" ht="15.75" customHeight="1">
      <c r="I295" s="179"/>
    </row>
    <row r="296" ht="15.75" customHeight="1">
      <c r="I296" s="179"/>
    </row>
    <row r="297" ht="15.75" customHeight="1">
      <c r="I297" s="179"/>
    </row>
    <row r="298" ht="15.75" customHeight="1">
      <c r="I298" s="179"/>
    </row>
    <row r="299" ht="15.75" customHeight="1">
      <c r="I299" s="179"/>
    </row>
    <row r="300" ht="15.75" customHeight="1">
      <c r="I300" s="179"/>
    </row>
    <row r="301" ht="15.75" customHeight="1">
      <c r="I301" s="179"/>
    </row>
    <row r="302" ht="15.75" customHeight="1">
      <c r="I302" s="179"/>
    </row>
    <row r="303" ht="15.75" customHeight="1">
      <c r="I303" s="179"/>
    </row>
    <row r="304" ht="15.75" customHeight="1">
      <c r="I304" s="179"/>
    </row>
    <row r="305" ht="15.75" customHeight="1">
      <c r="I305" s="179"/>
    </row>
    <row r="306" ht="15.75" customHeight="1">
      <c r="I306" s="179"/>
    </row>
    <row r="307" ht="15.75" customHeight="1">
      <c r="I307" s="179"/>
    </row>
    <row r="308" ht="15.75" customHeight="1">
      <c r="I308" s="179"/>
    </row>
    <row r="309" ht="15.75" customHeight="1">
      <c r="I309" s="179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4">
    <mergeCell ref="B96:C96"/>
    <mergeCell ref="E96:G96"/>
    <mergeCell ref="B97:C97"/>
    <mergeCell ref="E97:G97"/>
    <mergeCell ref="B98:C98"/>
    <mergeCell ref="E98:G98"/>
    <mergeCell ref="E99:G99"/>
    <mergeCell ref="F102:G108"/>
    <mergeCell ref="F109:G109"/>
    <mergeCell ref="E100:G100"/>
    <mergeCell ref="E101:G101"/>
    <mergeCell ref="B102:C102"/>
    <mergeCell ref="B103:C103"/>
    <mergeCell ref="B104:C104"/>
    <mergeCell ref="H104:I108"/>
    <mergeCell ref="B105:C109"/>
    <mergeCell ref="H109:I109"/>
    <mergeCell ref="B1:B2"/>
    <mergeCell ref="C1:I1"/>
    <mergeCell ref="C2:I2"/>
    <mergeCell ref="B3:I3"/>
    <mergeCell ref="F4:G4"/>
    <mergeCell ref="H4:I4"/>
    <mergeCell ref="H5:I5"/>
    <mergeCell ref="F5:G5"/>
    <mergeCell ref="B6:C6"/>
    <mergeCell ref="F6:G6"/>
    <mergeCell ref="H6:I6"/>
    <mergeCell ref="F7:G7"/>
    <mergeCell ref="F8:G8"/>
    <mergeCell ref="H8:I8"/>
    <mergeCell ref="C11:C12"/>
    <mergeCell ref="B16:C16"/>
    <mergeCell ref="B9:C9"/>
    <mergeCell ref="F9:I9"/>
    <mergeCell ref="G10:I10"/>
    <mergeCell ref="G11:I12"/>
    <mergeCell ref="G13:I13"/>
    <mergeCell ref="G14:I14"/>
    <mergeCell ref="G15:I15"/>
    <mergeCell ref="E94:G94"/>
    <mergeCell ref="E95:G95"/>
    <mergeCell ref="C91:I91"/>
    <mergeCell ref="B92:C92"/>
    <mergeCell ref="E92:G92"/>
    <mergeCell ref="B93:C93"/>
    <mergeCell ref="E93:G93"/>
    <mergeCell ref="B94:C94"/>
    <mergeCell ref="B95:C95"/>
    <mergeCell ref="B99:C99"/>
    <mergeCell ref="B100:C100"/>
    <mergeCell ref="B101:C101"/>
    <mergeCell ref="H102:I102"/>
    <mergeCell ref="H103:I103"/>
  </mergeCells>
  <dataValidations>
    <dataValidation type="custom" allowBlank="1" showErrorMessage="1" sqref="H20:H21">
      <formula1>NOT(ISBLANK(#REF!))</formula1>
    </dataValidation>
    <dataValidation type="custom" allowBlank="1" showErrorMessage="1" sqref="G11">
      <formula1>NOT(ISBLANK(G10))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